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MQP\MQP\Motor_Selection\"/>
    </mc:Choice>
  </mc:AlternateContent>
  <xr:revisionPtr revIDLastSave="0" documentId="13_ncr:1_{F437ABE5-D7E0-438D-A5CC-4042EB7A8117}" xr6:coauthVersionLast="47" xr6:coauthVersionMax="47" xr10:uidLastSave="{00000000-0000-0000-0000-000000000000}"/>
  <bookViews>
    <workbookView xWindow="-108" yWindow="-108" windowWidth="23256" windowHeight="12456" activeTab="1" xr2:uid="{561663A1-5EF6-44DB-8CFA-D0AE34553674}"/>
  </bookViews>
  <sheets>
    <sheet name="Sheet1" sheetId="1" r:id="rId1"/>
    <sheet name="Sheet2" sheetId="2" r:id="rId2"/>
  </sheets>
  <definedNames>
    <definedName name="solver_eng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9" i="2" l="1"/>
  <c r="L70" i="2"/>
  <c r="L71" i="2"/>
  <c r="L72" i="2"/>
  <c r="L73" i="2"/>
  <c r="L74" i="2"/>
  <c r="L75" i="2"/>
  <c r="L76" i="2"/>
  <c r="L68" i="2"/>
  <c r="K69" i="2"/>
  <c r="K70" i="2"/>
  <c r="K71" i="2"/>
  <c r="K72" i="2"/>
  <c r="K73" i="2"/>
  <c r="K74" i="2"/>
  <c r="K75" i="2"/>
  <c r="K76" i="2"/>
  <c r="K68" i="2"/>
  <c r="J69" i="2"/>
  <c r="J70" i="2"/>
  <c r="J71" i="2"/>
  <c r="J72" i="2"/>
  <c r="J73" i="2"/>
  <c r="J74" i="2"/>
  <c r="J75" i="2"/>
  <c r="J76" i="2"/>
  <c r="J68" i="2"/>
  <c r="S26" i="2"/>
  <c r="U27" i="2"/>
  <c r="S27" i="2"/>
  <c r="U21" i="2"/>
  <c r="U25" i="2"/>
  <c r="U28" i="2"/>
  <c r="U24" i="2"/>
  <c r="S28" i="2"/>
  <c r="S25" i="2"/>
  <c r="S24" i="2"/>
  <c r="M2" i="2" a="1"/>
  <c r="M32" i="2" a="1"/>
  <c r="L32" i="2" a="1"/>
  <c r="K32" i="2" a="1"/>
  <c r="J33" i="2"/>
  <c r="J34" i="2"/>
  <c r="J35" i="2"/>
  <c r="J36" i="2"/>
  <c r="J37" i="2"/>
  <c r="J38" i="2"/>
  <c r="J39" i="2"/>
  <c r="J40" i="2"/>
  <c r="J41" i="2"/>
  <c r="J42" i="2"/>
  <c r="J32" i="2"/>
  <c r="L2" i="2" a="1"/>
  <c r="K2" i="2" a="1"/>
  <c r="J2" i="2" a="1"/>
  <c r="AC27" i="1"/>
  <c r="AC26" i="1"/>
  <c r="AB27" i="1"/>
  <c r="AB26" i="1"/>
  <c r="AA27" i="1"/>
  <c r="AA26" i="1"/>
  <c r="AA22" i="1"/>
  <c r="AA23" i="1"/>
  <c r="Z27" i="1"/>
  <c r="Z26" i="1"/>
  <c r="Y23" i="1"/>
  <c r="Y22" i="1"/>
  <c r="Y21" i="1"/>
  <c r="D26" i="1" a="1"/>
  <c r="A26" i="1" a="1"/>
  <c r="C26" i="1" a="1"/>
  <c r="B23" i="1"/>
  <c r="A20" i="1"/>
  <c r="W24" i="2" l="1" a="1"/>
  <c r="T24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<sst xmlns="http://schemas.openxmlformats.org/spreadsheetml/2006/main" count="153" uniqueCount="68">
  <si>
    <t>GF 7042</t>
  </si>
  <si>
    <t>HQ 70403</t>
  </si>
  <si>
    <t>Throttle (%)</t>
  </si>
  <si>
    <t>Thrust (g)</t>
  </si>
  <si>
    <t>Voltage (V)</t>
  </si>
  <si>
    <t>Current (A)</t>
  </si>
  <si>
    <t>RPM</t>
  </si>
  <si>
    <t>Power (W)</t>
  </si>
  <si>
    <t>Efficiency (g/W)</t>
  </si>
  <si>
    <t>Current Mass (g)</t>
  </si>
  <si>
    <t>Per Motor</t>
  </si>
  <si>
    <t>Comparing 14.8V</t>
  </si>
  <si>
    <t>Volt ratio</t>
  </si>
  <si>
    <t>RPM should be 67% of what it would be at 22.4 V</t>
  </si>
  <si>
    <t>Power (w)</t>
  </si>
  <si>
    <t>Current</t>
  </si>
  <si>
    <t>Voltage</t>
  </si>
  <si>
    <t>per motor</t>
  </si>
  <si>
    <t>6S</t>
  </si>
  <si>
    <t>6S solver</t>
  </si>
  <si>
    <t>4S solver</t>
  </si>
  <si>
    <t>Drone (g)</t>
  </si>
  <si>
    <t>4S</t>
  </si>
  <si>
    <t>X (A)</t>
  </si>
  <si>
    <t>Y (g)</t>
  </si>
  <si>
    <t>Battery (mAh)</t>
  </si>
  <si>
    <t>^^hover current</t>
  </si>
  <si>
    <t>flight time</t>
  </si>
  <si>
    <t>Battery (Am)</t>
  </si>
  <si>
    <t>x4 motors</t>
  </si>
  <si>
    <t>use n = .8</t>
  </si>
  <si>
    <t>7 in, 3 blade</t>
  </si>
  <si>
    <t>mass (g)=</t>
  </si>
  <si>
    <t>kv=</t>
  </si>
  <si>
    <t>HQ 70403 (7 in)</t>
  </si>
  <si>
    <t>EOLO 15*8 (15 in)</t>
  </si>
  <si>
    <t>Motor:</t>
  </si>
  <si>
    <t>T Hobby F90</t>
  </si>
  <si>
    <t>SunnySky XS High Power X4110S</t>
  </si>
  <si>
    <t>Propellor:</t>
  </si>
  <si>
    <t>SunnySky X Series V3 X3520</t>
  </si>
  <si>
    <t>APC13*8 (13 in)</t>
  </si>
  <si>
    <t>Scaled to</t>
  </si>
  <si>
    <t>14.8V</t>
  </si>
  <si>
    <t>Already at 14.8V</t>
  </si>
  <si>
    <t>Time for each motor at Hover</t>
  </si>
  <si>
    <t>400 kV</t>
  </si>
  <si>
    <t>780 kV</t>
  </si>
  <si>
    <t>1300 kV</t>
  </si>
  <si>
    <t>kV</t>
  </si>
  <si>
    <t>total mass</t>
  </si>
  <si>
    <t>Use base mass of 2kg (2000g)</t>
  </si>
  <si>
    <t>mass per motor</t>
  </si>
  <si>
    <t>solver</t>
  </si>
  <si>
    <t>current per motor</t>
  </si>
  <si>
    <t>Flight time at hover 4 motors, n = .8</t>
  </si>
  <si>
    <t>APC 8*6 (8 in)</t>
  </si>
  <si>
    <t>1150 kV</t>
  </si>
  <si>
    <t>Required Thrust</t>
  </si>
  <si>
    <t>kv</t>
  </si>
  <si>
    <t>Prop Diameter</t>
  </si>
  <si>
    <t xml:space="preserve">Motor: </t>
  </si>
  <si>
    <t>SunnySky X Series V3 X2814</t>
  </si>
  <si>
    <t>APC9060</t>
  </si>
  <si>
    <t>SunnySky X Series V3 X2220</t>
  </si>
  <si>
    <t>APC9047</t>
  </si>
  <si>
    <t>980 kV</t>
  </si>
  <si>
    <t>RCD 3115 900KV Brushless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</si>
</sst>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/>
    </xf>
    <xf numFmtId="0" fontId="1" fillId="0" borderId="4" xfId="0" applyFont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11" xfId="1" applyBorder="1"/>
    <xf numFmtId="0" fontId="0" fillId="4" borderId="0" xfId="0" applyFill="1"/>
    <xf numFmtId="0" fontId="3" fillId="4" borderId="0" xfId="0" applyFont="1" applyFill="1"/>
    <xf numFmtId="0" fontId="0" fillId="4" borderId="11" xfId="0" applyFill="1" applyBorder="1"/>
    <xf numFmtId="0" fontId="0" fillId="4" borderId="16" xfId="0" applyFill="1" applyBorder="1"/>
    <xf numFmtId="0" fontId="3" fillId="4" borderId="11" xfId="0" applyFont="1" applyFill="1" applyBorder="1"/>
    <xf numFmtId="0" fontId="0" fillId="5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1-430C-98D6-B39532E82A2D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319.66000000000003</c:v>
                </c:pt>
                <c:pt idx="1">
                  <c:v>433.5</c:v>
                </c:pt>
                <c:pt idx="2">
                  <c:v>552.09</c:v>
                </c:pt>
                <c:pt idx="3">
                  <c:v>697.52</c:v>
                </c:pt>
                <c:pt idx="4">
                  <c:v>836.04</c:v>
                </c:pt>
                <c:pt idx="5">
                  <c:v>988.93</c:v>
                </c:pt>
                <c:pt idx="6">
                  <c:v>1196.5999999999999</c:v>
                </c:pt>
                <c:pt idx="7">
                  <c:v>1474.19</c:v>
                </c:pt>
                <c:pt idx="8">
                  <c:v>1783.25</c:v>
                </c:pt>
                <c:pt idx="9">
                  <c:v>1969.91</c:v>
                </c:pt>
                <c:pt idx="10">
                  <c:v>2116.5500000000002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21-430C-98D6-B39532E82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24.24</c:v>
                </c:pt>
                <c:pt idx="1">
                  <c:v>24.22</c:v>
                </c:pt>
                <c:pt idx="2">
                  <c:v>24.19</c:v>
                </c:pt>
                <c:pt idx="3">
                  <c:v>24.15</c:v>
                </c:pt>
                <c:pt idx="4">
                  <c:v>24.1</c:v>
                </c:pt>
                <c:pt idx="5">
                  <c:v>24.06</c:v>
                </c:pt>
                <c:pt idx="6">
                  <c:v>24.01</c:v>
                </c:pt>
                <c:pt idx="7">
                  <c:v>23.9</c:v>
                </c:pt>
                <c:pt idx="8">
                  <c:v>23.78</c:v>
                </c:pt>
                <c:pt idx="9">
                  <c:v>23.63</c:v>
                </c:pt>
                <c:pt idx="10">
                  <c:v>23.48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18-4CED-B752-2D7D0F0DC3A6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Sheet1!$I$3:$I$13</c:f>
              <c:numCache>
                <c:formatCode>General</c:formatCode>
                <c:ptCount val="11"/>
                <c:pt idx="0">
                  <c:v>24.24</c:v>
                </c:pt>
                <c:pt idx="1">
                  <c:v>24.22</c:v>
                </c:pt>
                <c:pt idx="2">
                  <c:v>24.2</c:v>
                </c:pt>
                <c:pt idx="3">
                  <c:v>24.18</c:v>
                </c:pt>
                <c:pt idx="4">
                  <c:v>24.14</c:v>
                </c:pt>
                <c:pt idx="5">
                  <c:v>24.1</c:v>
                </c:pt>
                <c:pt idx="6">
                  <c:v>24.04</c:v>
                </c:pt>
                <c:pt idx="7">
                  <c:v>23.95</c:v>
                </c:pt>
                <c:pt idx="8">
                  <c:v>23.83</c:v>
                </c:pt>
                <c:pt idx="9">
                  <c:v>23.71</c:v>
                </c:pt>
                <c:pt idx="10">
                  <c:v>23.54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18-4CED-B752-2D7D0F0D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Current Vs Throttle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2.14</c:v>
                </c:pt>
                <c:pt idx="1">
                  <c:v>3.31</c:v>
                </c:pt>
                <c:pt idx="2">
                  <c:v>4.55</c:v>
                </c:pt>
                <c:pt idx="3">
                  <c:v>6.71</c:v>
                </c:pt>
                <c:pt idx="4">
                  <c:v>8.83</c:v>
                </c:pt>
                <c:pt idx="5">
                  <c:v>11.29</c:v>
                </c:pt>
                <c:pt idx="6">
                  <c:v>14.27</c:v>
                </c:pt>
                <c:pt idx="7">
                  <c:v>20.64</c:v>
                </c:pt>
                <c:pt idx="8">
                  <c:v>27.73</c:v>
                </c:pt>
                <c:pt idx="9">
                  <c:v>36.729999999999997</c:v>
                </c:pt>
                <c:pt idx="10">
                  <c:v>45.11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CE-42EE-80C7-D2E1F650C05B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Sheet1!$J$3:$J$13</c:f>
              <c:numCache>
                <c:formatCode>General</c:formatCode>
                <c:ptCount val="11"/>
                <c:pt idx="0">
                  <c:v>1.78</c:v>
                </c:pt>
                <c:pt idx="1">
                  <c:v>2.62</c:v>
                </c:pt>
                <c:pt idx="2">
                  <c:v>3.86</c:v>
                </c:pt>
                <c:pt idx="3">
                  <c:v>5.22</c:v>
                </c:pt>
                <c:pt idx="4">
                  <c:v>7.22</c:v>
                </c:pt>
                <c:pt idx="5">
                  <c:v>9.24</c:v>
                </c:pt>
                <c:pt idx="6">
                  <c:v>12.15</c:v>
                </c:pt>
                <c:pt idx="7">
                  <c:v>18.25</c:v>
                </c:pt>
                <c:pt idx="8">
                  <c:v>24.52</c:v>
                </c:pt>
                <c:pt idx="9">
                  <c:v>32.06</c:v>
                </c:pt>
                <c:pt idx="10">
                  <c:v>41.26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CE-42EE-80C7-D2E1F650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Current Vs Throttle (6S battery)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HQ 70403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Sheet1!$D$3:$D$13</c:f>
              <c:numCache>
                <c:formatCode>General</c:formatCode>
                <c:ptCount val="11"/>
                <c:pt idx="0">
                  <c:v>2.14</c:v>
                </c:pt>
                <c:pt idx="1">
                  <c:v>3.31</c:v>
                </c:pt>
                <c:pt idx="2">
                  <c:v>4.55</c:v>
                </c:pt>
                <c:pt idx="3">
                  <c:v>6.71</c:v>
                </c:pt>
                <c:pt idx="4">
                  <c:v>8.83</c:v>
                </c:pt>
                <c:pt idx="5">
                  <c:v>11.29</c:v>
                </c:pt>
                <c:pt idx="6">
                  <c:v>14.27</c:v>
                </c:pt>
                <c:pt idx="7">
                  <c:v>20.64</c:v>
                </c:pt>
                <c:pt idx="8">
                  <c:v>27.73</c:v>
                </c:pt>
                <c:pt idx="9">
                  <c:v>36.729999999999997</c:v>
                </c:pt>
                <c:pt idx="10">
                  <c:v>45.11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23-49BE-B494-9444FB9231E8}"/>
            </c:ext>
          </c:extLst>
        </c:ser>
        <c:ser>
          <c:idx val="1"/>
          <c:order val="1"/>
          <c:tx>
            <c:v>GF 7042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Sheet1!$J$3:$J$13</c:f>
              <c:numCache>
                <c:formatCode>General</c:formatCode>
                <c:ptCount val="11"/>
                <c:pt idx="0">
                  <c:v>1.78</c:v>
                </c:pt>
                <c:pt idx="1">
                  <c:v>2.62</c:v>
                </c:pt>
                <c:pt idx="2">
                  <c:v>3.86</c:v>
                </c:pt>
                <c:pt idx="3">
                  <c:v>5.22</c:v>
                </c:pt>
                <c:pt idx="4">
                  <c:v>7.22</c:v>
                </c:pt>
                <c:pt idx="5">
                  <c:v>9.24</c:v>
                </c:pt>
                <c:pt idx="6">
                  <c:v>12.15</c:v>
                </c:pt>
                <c:pt idx="7">
                  <c:v>18.25</c:v>
                </c:pt>
                <c:pt idx="8">
                  <c:v>24.52</c:v>
                </c:pt>
                <c:pt idx="9">
                  <c:v>32.06</c:v>
                </c:pt>
                <c:pt idx="10">
                  <c:v>41.26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319.66000000000003</c:v>
                </c:pt>
                <c:pt idx="1">
                  <c:v>433.5</c:v>
                </c:pt>
                <c:pt idx="2">
                  <c:v>552.09</c:v>
                </c:pt>
                <c:pt idx="3">
                  <c:v>697.52</c:v>
                </c:pt>
                <c:pt idx="4">
                  <c:v>836.04</c:v>
                </c:pt>
                <c:pt idx="5">
                  <c:v>988.93</c:v>
                </c:pt>
                <c:pt idx="6">
                  <c:v>1196.5999999999999</c:v>
                </c:pt>
                <c:pt idx="7">
                  <c:v>1474.19</c:v>
                </c:pt>
                <c:pt idx="8">
                  <c:v>1783.25</c:v>
                </c:pt>
                <c:pt idx="9">
                  <c:v>1969.91</c:v>
                </c:pt>
                <c:pt idx="10">
                  <c:v>2116.5500000000002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23-49BE-B494-9444FB92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0144"/>
        <c:axId val="99305584"/>
      </c:scatterChart>
      <c:valAx>
        <c:axId val="218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5584"/>
        <c:crosses val="autoZero"/>
        <c:crossBetween val="midCat"/>
      </c:valAx>
      <c:valAx>
        <c:axId val="993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0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 Current for HQ 70403 Propellor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6165354330708664E-2"/>
                  <c:y val="-8.28701921902108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Sheet1!$D$3:$D$13</c:f>
              <c:numCache>
                <c:formatCode>General</c:formatCode>
                <c:ptCount val="11"/>
                <c:pt idx="0">
                  <c:v>2.14</c:v>
                </c:pt>
                <c:pt idx="1">
                  <c:v>3.31</c:v>
                </c:pt>
                <c:pt idx="2">
                  <c:v>4.55</c:v>
                </c:pt>
                <c:pt idx="3">
                  <c:v>6.71</c:v>
                </c:pt>
                <c:pt idx="4">
                  <c:v>8.83</c:v>
                </c:pt>
                <c:pt idx="5">
                  <c:v>11.29</c:v>
                </c:pt>
                <c:pt idx="6">
                  <c:v>14.27</c:v>
                </c:pt>
                <c:pt idx="7">
                  <c:v>20.64</c:v>
                </c:pt>
                <c:pt idx="8">
                  <c:v>27.73</c:v>
                </c:pt>
                <c:pt idx="9">
                  <c:v>36.729999999999997</c:v>
                </c:pt>
                <c:pt idx="10">
                  <c:v>45.11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B-4406-B897-FE633A5DAC71}"/>
            </c:ext>
          </c:extLst>
        </c:ser>
        <c:ser>
          <c:idx val="1"/>
          <c:order val="1"/>
          <c:tx>
            <c:v>4S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9956999125109363"/>
                  <c:y val="-7.31721006524448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Sheet1!$D$26:$D$36</c:f>
              <c:numCache>
                <c:formatCode>General</c:formatCode>
                <c:ptCount val="11"/>
                <c:pt idx="0">
                  <c:v>3.2159653465346532</c:v>
                </c:pt>
                <c:pt idx="1">
                  <c:v>4.9638728323699421</c:v>
                </c:pt>
                <c:pt idx="2">
                  <c:v>6.8290615957007015</c:v>
                </c:pt>
                <c:pt idx="3">
                  <c:v>10.067080745341615</c:v>
                </c:pt>
                <c:pt idx="4">
                  <c:v>13.251037344398338</c:v>
                </c:pt>
                <c:pt idx="5">
                  <c:v>16.93952618453865</c:v>
                </c:pt>
                <c:pt idx="6">
                  <c:v>21.404206580591421</c:v>
                </c:pt>
                <c:pt idx="7">
                  <c:v>30.952092050209206</c:v>
                </c:pt>
                <c:pt idx="8">
                  <c:v>41.593776282590404</c:v>
                </c:pt>
                <c:pt idx="9">
                  <c:v>55.088023698688112</c:v>
                </c:pt>
                <c:pt idx="10">
                  <c:v>67.663543441226565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5B-4406-B897-FE633A5DA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676959"/>
        <c:axId val="1336776143"/>
      </c:scatterChart>
      <c:valAx>
        <c:axId val="142867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76143"/>
        <c:crosses val="autoZero"/>
        <c:crossBetween val="midCat"/>
      </c:valAx>
      <c:valAx>
        <c:axId val="13367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7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Vs Thrust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0833333333333332"/>
                  <c:y val="-0.1194892825896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Sheet2!$K$2:$K$6</c:f>
              <c:numCache>
                <c:formatCode>General</c:formatCode>
                <c:ptCount val="5"/>
                <c:pt idx="0">
                  <c:v>0.84444444444444455</c:v>
                </c:pt>
                <c:pt idx="1">
                  <c:v>2.1777777777777785</c:v>
                </c:pt>
                <c:pt idx="2">
                  <c:v>4.0888888888888895</c:v>
                </c:pt>
                <c:pt idx="3">
                  <c:v>6.3111111111111118</c:v>
                </c:pt>
                <c:pt idx="4">
                  <c:v>8.3555555555555578</c:v>
                </c:pt>
              </c:numCache>
            </c:numRef>
          </c:xVal>
          <c:yVal>
            <c:numRef>
              <c:f>Sheet2!$J$2:$J$6</c:f>
              <c:numCache>
                <c:formatCode>General</c:formatCode>
                <c:ptCount val="5"/>
                <c:pt idx="0">
                  <c:v>222.22222222222226</c:v>
                </c:pt>
                <c:pt idx="1">
                  <c:v>444.44444444444451</c:v>
                </c:pt>
                <c:pt idx="2">
                  <c:v>666.66666666666674</c:v>
                </c:pt>
                <c:pt idx="3">
                  <c:v>888.88888888888903</c:v>
                </c:pt>
                <c:pt idx="4">
                  <c:v>1080.0000000000002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5-436C-B8F0-4AF124677258}"/>
            </c:ext>
          </c:extLst>
        </c:ser>
        <c:ser>
          <c:idx val="1"/>
          <c:order val="1"/>
          <c:tx>
            <c:v>780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60558315553768"/>
                  <c:y val="-7.5596416666926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Sheet2!$E$8:$E$18</c:f>
              <c:numCache>
                <c:formatCode>General</c:formatCode>
                <c:ptCount val="11"/>
                <c:pt idx="0">
                  <c:v>3.6</c:v>
                </c:pt>
                <c:pt idx="1">
                  <c:v>6.2</c:v>
                </c:pt>
                <c:pt idx="2">
                  <c:v>9.3000000000000007</c:v>
                </c:pt>
                <c:pt idx="3">
                  <c:v>12.7</c:v>
                </c:pt>
                <c:pt idx="4">
                  <c:v>16.899999999999999</c:v>
                </c:pt>
                <c:pt idx="5">
                  <c:v>21</c:v>
                </c:pt>
                <c:pt idx="6">
                  <c:v>26</c:v>
                </c:pt>
                <c:pt idx="7">
                  <c:v>31</c:v>
                </c:pt>
                <c:pt idx="8">
                  <c:v>36.799999999999997</c:v>
                </c:pt>
                <c:pt idx="9">
                  <c:v>43.7</c:v>
                </c:pt>
                <c:pt idx="10">
                  <c:v>58.6</c:v>
                </c:pt>
              </c:numCache>
            </c:numRef>
          </c:xVal>
          <c:yVal>
            <c:numRef>
              <c:f>Sheet2!$D$8:$D$18</c:f>
              <c:numCache>
                <c:formatCode>General</c:formatCode>
                <c:ptCount val="11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5-436C-B8F0-4AF124677258}"/>
            </c:ext>
          </c:extLst>
        </c:ser>
        <c:ser>
          <c:idx val="2"/>
          <c:order val="2"/>
          <c:tx>
            <c:v>1300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8359435507425473E-2"/>
                  <c:y val="-4.80326279127053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Sheet2!$K$32:$K$42</c:f>
              <c:numCache>
                <c:formatCode>General</c:formatCode>
                <c:ptCount val="11"/>
                <c:pt idx="0">
                  <c:v>0.95111111111111135</c:v>
                </c:pt>
                <c:pt idx="1">
                  <c:v>1.4711111111111115</c:v>
                </c:pt>
                <c:pt idx="2">
                  <c:v>2.0222222222222226</c:v>
                </c:pt>
                <c:pt idx="3">
                  <c:v>2.982222222222223</c:v>
                </c:pt>
                <c:pt idx="4">
                  <c:v>3.9244444444444451</c:v>
                </c:pt>
                <c:pt idx="5">
                  <c:v>5.0177777777777788</c:v>
                </c:pt>
                <c:pt idx="6">
                  <c:v>6.3422222222222233</c:v>
                </c:pt>
                <c:pt idx="7">
                  <c:v>9.1733333333333356</c:v>
                </c:pt>
                <c:pt idx="8">
                  <c:v>12.324444444444447</c:v>
                </c:pt>
                <c:pt idx="9">
                  <c:v>16.324444444444445</c:v>
                </c:pt>
                <c:pt idx="10">
                  <c:v>20.048888888888893</c:v>
                </c:pt>
              </c:numCache>
            </c:numRef>
          </c:xVal>
          <c:yVal>
            <c:numRef>
              <c:f>Sheet2!$J$32:$J$42</c:f>
              <c:numCache>
                <c:formatCode>General</c:formatCode>
                <c:ptCount val="11"/>
                <c:pt idx="0">
                  <c:v>157.09333333333336</c:v>
                </c:pt>
                <c:pt idx="1">
                  <c:v>212.77333333333337</c:v>
                </c:pt>
                <c:pt idx="2">
                  <c:v>265.0577777777778</c:v>
                </c:pt>
                <c:pt idx="3">
                  <c:v>337.02222222222224</c:v>
                </c:pt>
                <c:pt idx="4">
                  <c:v>421.1422222222223</c:v>
                </c:pt>
                <c:pt idx="5">
                  <c:v>503.0222222222223</c:v>
                </c:pt>
                <c:pt idx="6">
                  <c:v>573.41777777777793</c:v>
                </c:pt>
                <c:pt idx="7">
                  <c:v>704.77333333333343</c:v>
                </c:pt>
                <c:pt idx="8">
                  <c:v>829.03111111111127</c:v>
                </c:pt>
                <c:pt idx="9">
                  <c:v>982.31111111111125</c:v>
                </c:pt>
                <c:pt idx="10">
                  <c:v>1049.1600000000003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45-436C-B8F0-4AF124677258}"/>
            </c:ext>
          </c:extLst>
        </c:ser>
        <c:ser>
          <c:idx val="3"/>
          <c:order val="3"/>
          <c:tx>
            <c:v>1150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7.9300987443981008E-2"/>
                  <c:y val="0.168923971101347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Sheet2!$E$20:$E$30</c:f>
              <c:numCache>
                <c:formatCode>General</c:formatCode>
                <c:ptCount val="11"/>
                <c:pt idx="0">
                  <c:v>5.0199999999999996</c:v>
                </c:pt>
                <c:pt idx="1">
                  <c:v>5.91</c:v>
                </c:pt>
                <c:pt idx="2">
                  <c:v>6.89</c:v>
                </c:pt>
                <c:pt idx="3">
                  <c:v>7.89</c:v>
                </c:pt>
                <c:pt idx="4">
                  <c:v>9.11</c:v>
                </c:pt>
                <c:pt idx="5">
                  <c:v>10.32</c:v>
                </c:pt>
                <c:pt idx="6">
                  <c:v>11.81</c:v>
                </c:pt>
                <c:pt idx="7">
                  <c:v>13.86</c:v>
                </c:pt>
                <c:pt idx="8">
                  <c:v>16.18</c:v>
                </c:pt>
                <c:pt idx="9">
                  <c:v>21.49</c:v>
                </c:pt>
                <c:pt idx="10">
                  <c:v>23.1</c:v>
                </c:pt>
              </c:numCache>
            </c:numRef>
          </c:xVal>
          <c:yVal>
            <c:numRef>
              <c:f>Sheet2!$D$20:$D$30</c:f>
              <c:numCache>
                <c:formatCode>General</c:formatCode>
                <c:ptCount val="11"/>
                <c:pt idx="0">
                  <c:v>394</c:v>
                </c:pt>
                <c:pt idx="1">
                  <c:v>463</c:v>
                </c:pt>
                <c:pt idx="2">
                  <c:v>506</c:v>
                </c:pt>
                <c:pt idx="3">
                  <c:v>553</c:v>
                </c:pt>
                <c:pt idx="4">
                  <c:v>608</c:v>
                </c:pt>
                <c:pt idx="5">
                  <c:v>654</c:v>
                </c:pt>
                <c:pt idx="6">
                  <c:v>726</c:v>
                </c:pt>
                <c:pt idx="7">
                  <c:v>815</c:v>
                </c:pt>
                <c:pt idx="8">
                  <c:v>912</c:v>
                </c:pt>
                <c:pt idx="9">
                  <c:v>1088</c:v>
                </c:pt>
                <c:pt idx="10">
                  <c:v>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2E-4107-A582-C5F3F9AFF9B5}"/>
            </c:ext>
          </c:extLst>
        </c:ser>
        <c:ser>
          <c:idx val="4"/>
          <c:order val="4"/>
          <c:tx>
            <c:v>Required Thrust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Sheet2!$Y$27:$Z$27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Sheet2!$Y$26:$Z$26</c:f>
              <c:numCache>
                <c:formatCode>General</c:formatCode>
                <c:ptCount val="2"/>
                <c:pt idx="0">
                  <c:v>600</c:v>
                </c:pt>
                <c:pt idx="1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2E-4107-A582-C5F3F9AFF9B5}"/>
            </c:ext>
          </c:extLst>
        </c:ser>
        <c:ser>
          <c:idx val="5"/>
          <c:order val="5"/>
          <c:tx>
            <c:v>980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Sheet2!$K$53:$K$66</c:f>
              <c:numCache>
                <c:formatCode>General</c:formatCode>
                <c:ptCount val="14"/>
                <c:pt idx="0">
                  <c:v>0.8</c:v>
                </c:pt>
                <c:pt idx="1">
                  <c:v>1.6</c:v>
                </c:pt>
                <c:pt idx="2">
                  <c:v>2.7</c:v>
                </c:pt>
                <c:pt idx="3">
                  <c:v>4</c:v>
                </c:pt>
                <c:pt idx="4">
                  <c:v>5.3</c:v>
                </c:pt>
                <c:pt idx="5">
                  <c:v>6.5</c:v>
                </c:pt>
                <c:pt idx="6">
                  <c:v>8.1999999999999993</c:v>
                </c:pt>
                <c:pt idx="7">
                  <c:v>9.6</c:v>
                </c:pt>
                <c:pt idx="8">
                  <c:v>11.2</c:v>
                </c:pt>
                <c:pt idx="9">
                  <c:v>13</c:v>
                </c:pt>
                <c:pt idx="10">
                  <c:v>15.2</c:v>
                </c:pt>
                <c:pt idx="11">
                  <c:v>17.2</c:v>
                </c:pt>
                <c:pt idx="12">
                  <c:v>18.899999999999999</c:v>
                </c:pt>
                <c:pt idx="13">
                  <c:v>22.1</c:v>
                </c:pt>
              </c:numCache>
            </c:numRef>
          </c:xVal>
          <c:yVal>
            <c:numRef>
              <c:f>Sheet2!$J$53:$J$66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2E-4107-A582-C5F3F9AF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639839"/>
        <c:axId val="1420852399"/>
      </c:scatterChart>
      <c:valAx>
        <c:axId val="1428639839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852399"/>
        <c:crosses val="autoZero"/>
        <c:crossBetween val="midCat"/>
      </c:valAx>
      <c:valAx>
        <c:axId val="1420852399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3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</a:t>
            </a:r>
            <a:r>
              <a:rPr lang="en-US" baseline="0"/>
              <a:t> vs Thrust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400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8770984240918481E-2"/>
                  <c:y val="-2.62274952413240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Sheet2!$L$2:$L$6</c:f>
              <c:numCache>
                <c:formatCode>General</c:formatCode>
                <c:ptCount val="5"/>
                <c:pt idx="0">
                  <c:v>12.444444444444448</c:v>
                </c:pt>
                <c:pt idx="1">
                  <c:v>32.296296296296305</c:v>
                </c:pt>
                <c:pt idx="2">
                  <c:v>60.444444444444464</c:v>
                </c:pt>
                <c:pt idx="3">
                  <c:v>93.333333333333357</c:v>
                </c:pt>
                <c:pt idx="4">
                  <c:v>123.5555555555556</c:v>
                </c:pt>
              </c:numCache>
            </c:numRef>
          </c:xVal>
          <c:yVal>
            <c:numRef>
              <c:f>Sheet2!$J$2:$J$6</c:f>
              <c:numCache>
                <c:formatCode>General</c:formatCode>
                <c:ptCount val="5"/>
                <c:pt idx="0">
                  <c:v>222.22222222222226</c:v>
                </c:pt>
                <c:pt idx="1">
                  <c:v>444.44444444444451</c:v>
                </c:pt>
                <c:pt idx="2">
                  <c:v>666.66666666666674</c:v>
                </c:pt>
                <c:pt idx="3">
                  <c:v>888.88888888888903</c:v>
                </c:pt>
                <c:pt idx="4">
                  <c:v>1080.0000000000002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9-4EC8-A158-D45F876809E2}"/>
            </c:ext>
          </c:extLst>
        </c:ser>
        <c:ser>
          <c:idx val="1"/>
          <c:order val="1"/>
          <c:tx>
            <c:v>780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Sheet2!$F$8:$F$14</c:f>
              <c:numCache>
                <c:formatCode>General</c:formatCode>
                <c:ptCount val="7"/>
                <c:pt idx="0">
                  <c:v>53.28</c:v>
                </c:pt>
                <c:pt idx="1">
                  <c:v>91.76</c:v>
                </c:pt>
                <c:pt idx="2">
                  <c:v>137.63999999999999</c:v>
                </c:pt>
                <c:pt idx="3">
                  <c:v>187.96</c:v>
                </c:pt>
                <c:pt idx="4">
                  <c:v>250.12</c:v>
                </c:pt>
                <c:pt idx="5">
                  <c:v>310.8</c:v>
                </c:pt>
                <c:pt idx="6">
                  <c:v>384.8</c:v>
                </c:pt>
              </c:numCache>
            </c:numRef>
          </c:xVal>
          <c:yVal>
            <c:numRef>
              <c:f>Sheet2!$D$8:$D$14</c:f>
              <c:numCache>
                <c:formatCode>General</c:formatCode>
                <c:ptCount val="7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D9-4EC8-A158-D45F876809E2}"/>
            </c:ext>
          </c:extLst>
        </c:ser>
        <c:ser>
          <c:idx val="2"/>
          <c:order val="2"/>
          <c:tx>
            <c:v>1150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848451381052305"/>
                  <c:y val="9.5607318676418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Sheet2!$F$20:$F$30</c:f>
              <c:numCache>
                <c:formatCode>General</c:formatCode>
                <c:ptCount val="11"/>
                <c:pt idx="0">
                  <c:v>79.680000000000007</c:v>
                </c:pt>
                <c:pt idx="1">
                  <c:v>93.82</c:v>
                </c:pt>
                <c:pt idx="2">
                  <c:v>109.23</c:v>
                </c:pt>
                <c:pt idx="3">
                  <c:v>124.93</c:v>
                </c:pt>
                <c:pt idx="4">
                  <c:v>143.83000000000001</c:v>
                </c:pt>
                <c:pt idx="5">
                  <c:v>162.75</c:v>
                </c:pt>
                <c:pt idx="6">
                  <c:v>185.82</c:v>
                </c:pt>
                <c:pt idx="7">
                  <c:v>217.42</c:v>
                </c:pt>
                <c:pt idx="8">
                  <c:v>253.03</c:v>
                </c:pt>
                <c:pt idx="9">
                  <c:v>333.35</c:v>
                </c:pt>
                <c:pt idx="10">
                  <c:v>357.33</c:v>
                </c:pt>
              </c:numCache>
            </c:numRef>
          </c:xVal>
          <c:yVal>
            <c:numRef>
              <c:f>Sheet2!$D$20:$D$30</c:f>
              <c:numCache>
                <c:formatCode>General</c:formatCode>
                <c:ptCount val="11"/>
                <c:pt idx="0">
                  <c:v>394</c:v>
                </c:pt>
                <c:pt idx="1">
                  <c:v>463</c:v>
                </c:pt>
                <c:pt idx="2">
                  <c:v>506</c:v>
                </c:pt>
                <c:pt idx="3">
                  <c:v>553</c:v>
                </c:pt>
                <c:pt idx="4">
                  <c:v>608</c:v>
                </c:pt>
                <c:pt idx="5">
                  <c:v>654</c:v>
                </c:pt>
                <c:pt idx="6">
                  <c:v>726</c:v>
                </c:pt>
                <c:pt idx="7">
                  <c:v>815</c:v>
                </c:pt>
                <c:pt idx="8">
                  <c:v>912</c:v>
                </c:pt>
                <c:pt idx="9">
                  <c:v>1088</c:v>
                </c:pt>
                <c:pt idx="10">
                  <c:v>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D9-4EC8-A158-D45F876809E2}"/>
            </c:ext>
          </c:extLst>
        </c:ser>
        <c:ser>
          <c:idx val="3"/>
          <c:order val="3"/>
          <c:tx>
            <c:v>1300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170271520189377E-2"/>
                  <c:y val="-3.67494948439963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Sheet2!$L$32:$L$42</c:f>
              <c:numCache>
                <c:formatCode>General</c:formatCode>
                <c:ptCount val="11"/>
                <c:pt idx="0">
                  <c:v>15.398518518518523</c:v>
                </c:pt>
                <c:pt idx="1">
                  <c:v>23.748148148148157</c:v>
                </c:pt>
                <c:pt idx="2">
                  <c:v>32.631111111111117</c:v>
                </c:pt>
                <c:pt idx="3">
                  <c:v>48.023703703703724</c:v>
                </c:pt>
                <c:pt idx="4">
                  <c:v>63.081481481481504</c:v>
                </c:pt>
                <c:pt idx="5">
                  <c:v>80.506666666666689</c:v>
                </c:pt>
                <c:pt idx="6">
                  <c:v>101.51407407407412</c:v>
                </c:pt>
                <c:pt idx="7">
                  <c:v>146.12444444444449</c:v>
                </c:pt>
                <c:pt idx="8">
                  <c:v>195.37777777777782</c:v>
                </c:pt>
                <c:pt idx="9">
                  <c:v>257.13185185185193</c:v>
                </c:pt>
                <c:pt idx="10">
                  <c:v>313.82518518518532</c:v>
                </c:pt>
              </c:numCache>
            </c:numRef>
          </c:xVal>
          <c:yVal>
            <c:numRef>
              <c:f>Sheet2!$J$32:$J$42</c:f>
              <c:numCache>
                <c:formatCode>General</c:formatCode>
                <c:ptCount val="11"/>
                <c:pt idx="0">
                  <c:v>157.09333333333336</c:v>
                </c:pt>
                <c:pt idx="1">
                  <c:v>212.77333333333337</c:v>
                </c:pt>
                <c:pt idx="2">
                  <c:v>265.0577777777778</c:v>
                </c:pt>
                <c:pt idx="3">
                  <c:v>337.02222222222224</c:v>
                </c:pt>
                <c:pt idx="4">
                  <c:v>421.1422222222223</c:v>
                </c:pt>
                <c:pt idx="5">
                  <c:v>503.0222222222223</c:v>
                </c:pt>
                <c:pt idx="6">
                  <c:v>573.41777777777793</c:v>
                </c:pt>
                <c:pt idx="7">
                  <c:v>704.77333333333343</c:v>
                </c:pt>
                <c:pt idx="8">
                  <c:v>829.03111111111127</c:v>
                </c:pt>
                <c:pt idx="9">
                  <c:v>982.31111111111125</c:v>
                </c:pt>
                <c:pt idx="10">
                  <c:v>1049.1600000000003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D9-4EC8-A158-D45F876809E2}"/>
            </c:ext>
          </c:extLst>
        </c:ser>
        <c:ser>
          <c:idx val="4"/>
          <c:order val="4"/>
          <c:tx>
            <c:v>980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Sheet2!$L$53:$L$66</c:f>
              <c:numCache>
                <c:formatCode>General</c:formatCode>
                <c:ptCount val="14"/>
                <c:pt idx="0">
                  <c:v>11.84</c:v>
                </c:pt>
                <c:pt idx="1">
                  <c:v>23.68</c:v>
                </c:pt>
                <c:pt idx="2">
                  <c:v>39.96</c:v>
                </c:pt>
                <c:pt idx="3">
                  <c:v>59.2</c:v>
                </c:pt>
                <c:pt idx="4">
                  <c:v>78.44</c:v>
                </c:pt>
                <c:pt idx="5">
                  <c:v>96.2</c:v>
                </c:pt>
                <c:pt idx="6">
                  <c:v>121.36</c:v>
                </c:pt>
                <c:pt idx="7">
                  <c:v>142.08000000000001</c:v>
                </c:pt>
                <c:pt idx="8">
                  <c:v>165.76</c:v>
                </c:pt>
                <c:pt idx="9">
                  <c:v>192.4</c:v>
                </c:pt>
                <c:pt idx="10">
                  <c:v>224.96</c:v>
                </c:pt>
                <c:pt idx="11">
                  <c:v>254.56</c:v>
                </c:pt>
                <c:pt idx="12">
                  <c:v>279.72000000000003</c:v>
                </c:pt>
                <c:pt idx="13">
                  <c:v>327.08</c:v>
                </c:pt>
              </c:numCache>
            </c:numRef>
          </c:xVal>
          <c:yVal>
            <c:numRef>
              <c:f>Sheet2!$J$53:$J$66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D9-4EC8-A158-D45F87680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822864"/>
        <c:axId val="2075573584"/>
      </c:scatterChart>
      <c:valAx>
        <c:axId val="205582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73584"/>
        <c:crosses val="autoZero"/>
        <c:crossBetween val="midCat"/>
      </c:valAx>
      <c:valAx>
        <c:axId val="207557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2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Propellor</a:t>
            </a:r>
            <a:r>
              <a:rPr lang="en-US" baseline="0"/>
              <a:t> Diameter vs kV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Sheet2!$Y$4:$Y$7</c:f>
              <c:numCache>
                <c:formatCode>General</c:formatCode>
                <c:ptCount val="4"/>
                <c:pt idx="0">
                  <c:v>400</c:v>
                </c:pt>
                <c:pt idx="1">
                  <c:v>780</c:v>
                </c:pt>
                <c:pt idx="2">
                  <c:v>1150</c:v>
                </c:pt>
                <c:pt idx="3">
                  <c:v>1300</c:v>
                </c:pt>
              </c:numCache>
            </c:numRef>
          </c:xVal>
          <c:yVal>
            <c:numRef>
              <c:f>Sheet2!$Z$4:$Z$7</c:f>
              <c:numCache>
                <c:formatCode>General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B-4A25-A8B8-DC3667E3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5263"/>
        <c:axId val="2075668624"/>
      </c:scatterChart>
      <c:valAx>
        <c:axId val="1570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kV of motor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68624"/>
        <c:crosses val="autoZero"/>
        <c:crossBetween val="midCat"/>
      </c:valAx>
      <c:valAx>
        <c:axId val="207566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Propellor Diamter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  <a:r>
              <a:rPr lang="en-US" baseline="0"/>
              <a:t> vs Thrust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1300 kV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Sheet2!$D$32:$D$42</c:f>
              <c:numCache>
                <c:formatCode>General</c:formatCode>
                <c:ptCount val="11"/>
                <c:pt idx="0">
                  <c:v>353.46</c:v>
                </c:pt>
                <c:pt idx="1">
                  <c:v>478.74</c:v>
                </c:pt>
                <c:pt idx="2">
                  <c:v>596.38</c:v>
                </c:pt>
                <c:pt idx="3">
                  <c:v>758.3</c:v>
                </c:pt>
                <c:pt idx="4">
                  <c:v>947.57</c:v>
                </c:pt>
                <c:pt idx="5">
                  <c:v>1131.8</c:v>
                </c:pt>
                <c:pt idx="6">
                  <c:v>1290.19</c:v>
                </c:pt>
                <c:pt idx="7">
                  <c:v>1585.74</c:v>
                </c:pt>
                <c:pt idx="8">
                  <c:v>1865.32</c:v>
                </c:pt>
                <c:pt idx="9">
                  <c:v>2210.1999999999998</c:v>
                </c:pt>
                <c:pt idx="10">
                  <c:v>2360.61</c:v>
                </c:pt>
              </c:numCache>
            </c:numRef>
          </c:xVal>
          <c:yVal>
            <c:numRef>
              <c:f>Sheet2!$H$32:$H$42</c:f>
              <c:numCache>
                <c:formatCode>General</c:formatCode>
                <c:ptCount val="11"/>
                <c:pt idx="0">
                  <c:v>8192</c:v>
                </c:pt>
                <c:pt idx="1">
                  <c:v>9342</c:v>
                </c:pt>
                <c:pt idx="2">
                  <c:v>10488</c:v>
                </c:pt>
                <c:pt idx="3">
                  <c:v>11716</c:v>
                </c:pt>
                <c:pt idx="4">
                  <c:v>12801</c:v>
                </c:pt>
                <c:pt idx="5">
                  <c:v>13891</c:v>
                </c:pt>
                <c:pt idx="6">
                  <c:v>14807</c:v>
                </c:pt>
                <c:pt idx="7">
                  <c:v>16402</c:v>
                </c:pt>
                <c:pt idx="8">
                  <c:v>17739</c:v>
                </c:pt>
                <c:pt idx="9">
                  <c:v>18865</c:v>
                </c:pt>
                <c:pt idx="10">
                  <c:v>19617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F5-45F3-8081-A3C65DE34C36}"/>
            </c:ext>
          </c:extLst>
        </c:ser>
        <c:ser>
          <c:idx val="1"/>
          <c:order val="1"/>
          <c:tx>
            <c:v>780 vkV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Sheet2!$D$8:$D$18</c:f>
              <c:numCache>
                <c:formatCode>General</c:formatCode>
                <c:ptCount val="11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  <c:pt idx="5">
                  <c:v>1750</c:v>
                </c:pt>
                <c:pt idx="6">
                  <c:v>2000</c:v>
                </c:pt>
                <c:pt idx="7">
                  <c:v>2250</c:v>
                </c:pt>
                <c:pt idx="8">
                  <c:v>2500</c:v>
                </c:pt>
                <c:pt idx="9">
                  <c:v>2750</c:v>
                </c:pt>
                <c:pt idx="10">
                  <c:v>3260</c:v>
                </c:pt>
              </c:numCache>
            </c:numRef>
          </c:xVal>
          <c:yVal>
            <c:numRef>
              <c:f>Sheet2!$H$8:$H$18</c:f>
              <c:numCache>
                <c:formatCode>General</c:formatCode>
                <c:ptCount val="11"/>
                <c:pt idx="0">
                  <c:v>3829</c:v>
                </c:pt>
                <c:pt idx="1">
                  <c:v>4506</c:v>
                </c:pt>
                <c:pt idx="2">
                  <c:v>5190</c:v>
                </c:pt>
                <c:pt idx="3">
                  <c:v>5760</c:v>
                </c:pt>
                <c:pt idx="4">
                  <c:v>6369</c:v>
                </c:pt>
                <c:pt idx="5">
                  <c:v>6787</c:v>
                </c:pt>
                <c:pt idx="6">
                  <c:v>7250</c:v>
                </c:pt>
                <c:pt idx="7">
                  <c:v>7650</c:v>
                </c:pt>
                <c:pt idx="8">
                  <c:v>8029</c:v>
                </c:pt>
                <c:pt idx="9">
                  <c:v>8410</c:v>
                </c:pt>
                <c:pt idx="10">
                  <c:v>9030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F5-45F3-8081-A3C65DE34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2895"/>
        <c:axId val="2075561584"/>
      </c:scatterChart>
      <c:valAx>
        <c:axId val="1572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61584"/>
        <c:crosses val="autoZero"/>
        <c:crossBetween val="midCat"/>
      </c:valAx>
      <c:valAx>
        <c:axId val="20755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 Thrust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900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Sheet2!$K$68:$K$76</c:f>
              <c:numCache>
                <c:formatCode>General</c:formatCode>
                <c:ptCount val="9"/>
                <c:pt idx="0">
                  <c:v>0.32888888888888895</c:v>
                </c:pt>
                <c:pt idx="1">
                  <c:v>1.4444444444444446</c:v>
                </c:pt>
                <c:pt idx="2">
                  <c:v>3.8000000000000012</c:v>
                </c:pt>
                <c:pt idx="3">
                  <c:v>8.1111111111111125</c:v>
                </c:pt>
                <c:pt idx="4">
                  <c:v>14.302222222222225</c:v>
                </c:pt>
                <c:pt idx="5">
                  <c:v>21.040000000000006</c:v>
                </c:pt>
                <c:pt idx="6">
                  <c:v>28.533333333333339</c:v>
                </c:pt>
                <c:pt idx="7">
                  <c:v>29.422222222222228</c:v>
                </c:pt>
                <c:pt idx="8">
                  <c:v>30.222222222222229</c:v>
                </c:pt>
              </c:numCache>
            </c:numRef>
          </c:xVal>
          <c:yVal>
            <c:numRef>
              <c:f>Sheet2!$J$68:$J$76</c:f>
              <c:numCache>
                <c:formatCode>General</c:formatCode>
                <c:ptCount val="9"/>
                <c:pt idx="0">
                  <c:v>56.8888888888889</c:v>
                </c:pt>
                <c:pt idx="1">
                  <c:v>208.44444444444449</c:v>
                </c:pt>
                <c:pt idx="2">
                  <c:v>455.1111111111112</c:v>
                </c:pt>
                <c:pt idx="3">
                  <c:v>791.55555555555566</c:v>
                </c:pt>
                <c:pt idx="4">
                  <c:v>1122.666666666667</c:v>
                </c:pt>
                <c:pt idx="5">
                  <c:v>1412.4444444444448</c:v>
                </c:pt>
                <c:pt idx="6">
                  <c:v>1622.666666666667</c:v>
                </c:pt>
                <c:pt idx="7">
                  <c:v>1720.0000000000002</c:v>
                </c:pt>
                <c:pt idx="8">
                  <c:v>1760.0000000000005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A-4CF6-A746-090156092F92}"/>
            </c:ext>
          </c:extLst>
        </c:ser>
        <c:ser>
          <c:idx val="1"/>
          <c:order val="1"/>
          <c:tx>
            <c:v>980 kV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Sheet2!$K$53:$K$66</c:f>
              <c:numCache>
                <c:formatCode>General</c:formatCode>
                <c:ptCount val="14"/>
                <c:pt idx="0">
                  <c:v>0.8</c:v>
                </c:pt>
                <c:pt idx="1">
                  <c:v>1.6</c:v>
                </c:pt>
                <c:pt idx="2">
                  <c:v>2.7</c:v>
                </c:pt>
                <c:pt idx="3">
                  <c:v>4</c:v>
                </c:pt>
                <c:pt idx="4">
                  <c:v>5.3</c:v>
                </c:pt>
                <c:pt idx="5">
                  <c:v>6.5</c:v>
                </c:pt>
                <c:pt idx="6">
                  <c:v>8.1999999999999993</c:v>
                </c:pt>
                <c:pt idx="7">
                  <c:v>9.6</c:v>
                </c:pt>
                <c:pt idx="8">
                  <c:v>11.2</c:v>
                </c:pt>
                <c:pt idx="9">
                  <c:v>13</c:v>
                </c:pt>
                <c:pt idx="10">
                  <c:v>15.2</c:v>
                </c:pt>
                <c:pt idx="11">
                  <c:v>17.2</c:v>
                </c:pt>
                <c:pt idx="12">
                  <c:v>18.899999999999999</c:v>
                </c:pt>
                <c:pt idx="13">
                  <c:v>22.1</c:v>
                </c:pt>
              </c:numCache>
            </c:numRef>
          </c:xVal>
          <c:yVal>
            <c:numRef>
              <c:f>Sheet2!$J$53:$J$66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A-4CF6-A746-09015609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631456"/>
        <c:axId val="266660080"/>
      </c:scatterChart>
      <c:valAx>
        <c:axId val="38563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60080"/>
        <c:crosses val="autoZero"/>
        <c:crossBetween val="midCat"/>
      </c:valAx>
      <c:valAx>
        <c:axId val="2666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63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341107</xdr:colOff>
      <xdr:row>16</xdr:row>
      <xdr:rowOff>139626</xdr:rowOff>
    </xdr:from>
    <xdr:to>
      <xdr:col>16</xdr:col>
      <xdr:colOff>36307</xdr:colOff>
      <xdr:row>31</xdr:row>
      <xdr:rowOff>163382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E5C38-22F7-82EA-C947-6906F3F13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378207</xdr:colOff>
      <xdr:row>18</xdr:row>
      <xdr:rowOff>51479</xdr:rowOff>
    </xdr:from>
    <xdr:to>
      <xdr:col>16</xdr:col>
      <xdr:colOff>234772</xdr:colOff>
      <xdr:row>33</xdr:row>
      <xdr:rowOff>126471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74B06-CFB8-4FC7-8DD6-1CED37A4D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597291</xdr:colOff>
      <xdr:row>0</xdr:row>
      <xdr:rowOff>38100</xdr:rowOff>
    </xdr:from>
    <xdr:to>
      <xdr:col>30</xdr:col>
      <xdr:colOff>292491</xdr:colOff>
      <xdr:row>13</xdr:row>
      <xdr:rowOff>4103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20DF47-735A-44AC-A458-665A294DF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601980</xdr:colOff>
      <xdr:row>15</xdr:row>
      <xdr:rowOff>114300</xdr:rowOff>
    </xdr:from>
    <xdr:to>
      <xdr:col>13</xdr:col>
      <xdr:colOff>297180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5F8EF-22D5-4F20-AA5F-5F04A7E02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240322</xdr:colOff>
      <xdr:row>17</xdr:row>
      <xdr:rowOff>87923</xdr:rowOff>
    </xdr:from>
    <xdr:to>
      <xdr:col>21</xdr:col>
      <xdr:colOff>545122</xdr:colOff>
      <xdr:row>32</xdr:row>
      <xdr:rowOff>17584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0337E7-D4C9-9B64-00F8-F0BDD37E9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346329</xdr:colOff>
      <xdr:row>28</xdr:row>
      <xdr:rowOff>78827</xdr:rowOff>
    </xdr:from>
    <xdr:to>
      <xdr:col>25</xdr:col>
      <xdr:colOff>249620</xdr:colOff>
      <xdr:row>45</xdr:row>
      <xdr:rowOff>125174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3FCBD-A5EF-0400-303E-77B559EC8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266508</xdr:colOff>
      <xdr:row>39</xdr:row>
      <xdr:rowOff>91715</xdr:rowOff>
    </xdr:from>
    <xdr:to>
      <xdr:col>25</xdr:col>
      <xdr:colOff>564190</xdr:colOff>
      <xdr:row>59</xdr:row>
      <xdr:rowOff>115737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B7E60-4265-A9B2-EF49-645751063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1118126</xdr:colOff>
      <xdr:row>2</xdr:row>
      <xdr:rowOff>52027</xdr:rowOff>
    </xdr:from>
    <xdr:to>
      <xdr:col>26</xdr:col>
      <xdr:colOff>69543</xdr:colOff>
      <xdr:row>17</xdr:row>
      <xdr:rowOff>41867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B823F-7556-52BB-9D74-B4380470E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45981</xdr:colOff>
      <xdr:row>2</xdr:row>
      <xdr:rowOff>34158</xdr:rowOff>
    </xdr:from>
    <xdr:to>
      <xdr:col>18</xdr:col>
      <xdr:colOff>137947</xdr:colOff>
      <xdr:row>17</xdr:row>
      <xdr:rowOff>5254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CCC2F4-23A5-28DC-3B18-B5B962C3B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1267810</xdr:colOff>
      <xdr:row>62</xdr:row>
      <xdr:rowOff>73573</xdr:rowOff>
    </xdr:from>
    <xdr:to>
      <xdr:col>19</xdr:col>
      <xdr:colOff>203638</xdr:colOff>
      <xdr:row>77</xdr:row>
      <xdr:rowOff>44670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FE730F-9BEA-75C1-FB06-8D81EB39B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4601A-ADE3-43F0-8C46-CE68DF1AC233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6822179010884644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unnyskyusa.com/products/sunnysky-x2814?variant=27868145647710" TargetMode="External"/><Relationship Id="rId2" Type="http://schemas.openxmlformats.org/officeDocument/2006/relationships/hyperlink" Target="https://sunnyskyusa.com/products/sunnysky-x4110s-motors?variant=15989433892958" TargetMode="External"/><Relationship Id="rId1" Type="http://schemas.openxmlformats.org/officeDocument/2006/relationships/hyperlink" Target="https://www.mepsking.shop/thobby-f90-long-range-motor-x8-2806-5.html?spec=1300KV%20*%204pcs&amp;utm_source=google&amp;utm_medium=cpc&amp;utm_id=24056311810&amp;utm_term=null&amp;utm_content=null&amp;utm_campaign=ga_pmaxads_brand_thobby_20260721_6_countries&amp;gad_source=1&amp;gad_campaignid=24051767441&amp;gbraid=0AAAAApOVdOj98hSWiM1UTqzrclA0SqdFF&amp;gclid=CjwKCAjwtp7VBhBjEiwAJfpV-5eAh4DsIuhXycdF7vRb2dJMyKGJ_atPS0SBmeUrhXbo3GW5tgJsaxoCqvgQAvD_BwE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rcdrone.top/products/3115-900kv-3-6s-brushless-motor?variant=47272520745184" TargetMode="External"/><Relationship Id="rId4" Type="http://schemas.openxmlformats.org/officeDocument/2006/relationships/hyperlink" Target="https://sunnyskyusa.com/products/sunnysky-x2220?variant=32061537288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260D-C31C-4D24-87FD-B0D28DF64C21}">
  <dimension ref="A1:AC36"/>
  <sheetViews>
    <sheetView topLeftCell="M5" zoomScale="85" zoomScaleNormal="85" workbookViewId="0">
      <selection activeCell="AB26" sqref="AB26"/>
    </sheetView>
  </sheetViews>
  <sheetFormatPr defaultRowHeight="14.4"/>
  <cols>
    <col min="13" max="13" width="16.109375" customWidth="1"/>
    <col min="24" max="24" width="11.21875" customWidth="1"/>
    <col min="26" max="26" width="12.6640625" bestFit="1" customWidth="1"/>
    <col min="27" max="27" width="11.109375" customWidth="1"/>
  </cols>
  <sheetData>
    <row r="1" spans="1:13" ht="27.6" thickBot="1">
      <c r="A1" s="1"/>
      <c r="B1" s="2" t="s">
        <v>1</v>
      </c>
      <c r="C1" s="3" t="s">
        <v>31</v>
      </c>
      <c r="D1" s="3"/>
      <c r="E1" s="3"/>
      <c r="F1" s="3"/>
      <c r="G1" s="3"/>
      <c r="H1" s="4" t="s">
        <v>0</v>
      </c>
      <c r="I1" s="5"/>
      <c r="J1" s="5"/>
      <c r="K1" s="5"/>
      <c r="L1" s="5"/>
      <c r="M1" s="6"/>
    </row>
    <row r="2" spans="1:13" ht="27.6" thickBo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9" t="s">
        <v>3</v>
      </c>
      <c r="I2" s="9" t="s">
        <v>4</v>
      </c>
      <c r="J2" s="9" t="s">
        <v>5</v>
      </c>
      <c r="K2" s="9" t="s">
        <v>6</v>
      </c>
      <c r="L2" s="9" t="s">
        <v>7</v>
      </c>
      <c r="M2" s="10" t="s">
        <v>8</v>
      </c>
    </row>
    <row r="3" spans="1:13" ht="15" thickBot="1">
      <c r="A3" s="11">
        <v>30</v>
      </c>
      <c r="B3" s="12">
        <v>353.46</v>
      </c>
      <c r="C3" s="12">
        <v>24.24</v>
      </c>
      <c r="D3" s="12">
        <v>2.14</v>
      </c>
      <c r="E3" s="12">
        <v>8192</v>
      </c>
      <c r="F3" s="12">
        <v>51.97</v>
      </c>
      <c r="G3" s="12">
        <v>6.8</v>
      </c>
      <c r="H3" s="13">
        <v>319.66000000000003</v>
      </c>
      <c r="I3" s="13">
        <v>24.24</v>
      </c>
      <c r="J3" s="13">
        <v>1.78</v>
      </c>
      <c r="K3" s="13">
        <v>8506</v>
      </c>
      <c r="L3" s="13">
        <v>43.23</v>
      </c>
      <c r="M3" s="14">
        <v>7.39</v>
      </c>
    </row>
    <row r="4" spans="1:13" ht="15" thickBot="1">
      <c r="A4" s="11">
        <v>35</v>
      </c>
      <c r="B4" s="12">
        <v>478.74</v>
      </c>
      <c r="C4" s="12">
        <v>24.22</v>
      </c>
      <c r="D4" s="12">
        <v>3.31</v>
      </c>
      <c r="E4" s="12">
        <v>9342</v>
      </c>
      <c r="F4" s="12">
        <v>80.150000000000006</v>
      </c>
      <c r="G4" s="12">
        <v>5.97</v>
      </c>
      <c r="H4" s="13">
        <v>433.5</v>
      </c>
      <c r="I4" s="13">
        <v>24.22</v>
      </c>
      <c r="J4" s="13">
        <v>2.62</v>
      </c>
      <c r="K4" s="13">
        <v>9659</v>
      </c>
      <c r="L4" s="13">
        <v>63.49</v>
      </c>
      <c r="M4" s="14">
        <v>6.83</v>
      </c>
    </row>
    <row r="5" spans="1:13" ht="15" thickBot="1">
      <c r="A5" s="11">
        <v>40</v>
      </c>
      <c r="B5" s="12">
        <v>596.38</v>
      </c>
      <c r="C5" s="12">
        <v>24.19</v>
      </c>
      <c r="D5" s="12">
        <v>4.55</v>
      </c>
      <c r="E5" s="12">
        <v>10488</v>
      </c>
      <c r="F5" s="12">
        <v>110.13</v>
      </c>
      <c r="G5" s="12">
        <v>5.42</v>
      </c>
      <c r="H5" s="13">
        <v>552.09</v>
      </c>
      <c r="I5" s="13">
        <v>24.2</v>
      </c>
      <c r="J5" s="13">
        <v>3.86</v>
      </c>
      <c r="K5" s="13">
        <v>10772</v>
      </c>
      <c r="L5" s="13">
        <v>93.35</v>
      </c>
      <c r="M5" s="14">
        <v>5.91</v>
      </c>
    </row>
    <row r="6" spans="1:13" ht="15" thickBot="1">
      <c r="A6" s="11">
        <v>45</v>
      </c>
      <c r="B6" s="12">
        <v>758.3</v>
      </c>
      <c r="C6" s="12">
        <v>24.15</v>
      </c>
      <c r="D6" s="12">
        <v>6.71</v>
      </c>
      <c r="E6" s="12">
        <v>11716</v>
      </c>
      <c r="F6" s="12">
        <v>162.08000000000001</v>
      </c>
      <c r="G6" s="12">
        <v>4.68</v>
      </c>
      <c r="H6" s="13">
        <v>697.52</v>
      </c>
      <c r="I6" s="13">
        <v>24.18</v>
      </c>
      <c r="J6" s="13">
        <v>5.22</v>
      </c>
      <c r="K6" s="13">
        <v>12021</v>
      </c>
      <c r="L6" s="13">
        <v>126.13</v>
      </c>
      <c r="M6" s="14">
        <v>5.53</v>
      </c>
    </row>
    <row r="7" spans="1:13" ht="15" thickBot="1">
      <c r="A7" s="11">
        <v>50</v>
      </c>
      <c r="B7" s="12">
        <v>947.57</v>
      </c>
      <c r="C7" s="12">
        <v>24.1</v>
      </c>
      <c r="D7" s="12">
        <v>8.83</v>
      </c>
      <c r="E7" s="12">
        <v>12801</v>
      </c>
      <c r="F7" s="12">
        <v>212.9</v>
      </c>
      <c r="G7" s="12">
        <v>4.45</v>
      </c>
      <c r="H7" s="13">
        <v>836.04</v>
      </c>
      <c r="I7" s="13">
        <v>24.14</v>
      </c>
      <c r="J7" s="13">
        <v>7.22</v>
      </c>
      <c r="K7" s="13">
        <v>13240</v>
      </c>
      <c r="L7" s="13">
        <v>174.32</v>
      </c>
      <c r="M7" s="14">
        <v>4.8</v>
      </c>
    </row>
    <row r="8" spans="1:13" ht="15" thickBot="1">
      <c r="A8" s="11">
        <v>55</v>
      </c>
      <c r="B8" s="12">
        <v>1131.8</v>
      </c>
      <c r="C8" s="12">
        <v>24.06</v>
      </c>
      <c r="D8" s="12">
        <v>11.29</v>
      </c>
      <c r="E8" s="12">
        <v>13891</v>
      </c>
      <c r="F8" s="12">
        <v>271.70999999999998</v>
      </c>
      <c r="G8" s="12">
        <v>4.17</v>
      </c>
      <c r="H8" s="13">
        <v>988.93</v>
      </c>
      <c r="I8" s="13">
        <v>24.1</v>
      </c>
      <c r="J8" s="13">
        <v>9.24</v>
      </c>
      <c r="K8" s="13">
        <v>14379</v>
      </c>
      <c r="L8" s="13">
        <v>222.65</v>
      </c>
      <c r="M8" s="14">
        <v>4.4400000000000004</v>
      </c>
    </row>
    <row r="9" spans="1:13" ht="15" thickBot="1">
      <c r="A9" s="11">
        <v>60</v>
      </c>
      <c r="B9" s="12">
        <v>1290.19</v>
      </c>
      <c r="C9" s="12">
        <v>24.01</v>
      </c>
      <c r="D9" s="12">
        <v>14.27</v>
      </c>
      <c r="E9" s="12">
        <v>14807</v>
      </c>
      <c r="F9" s="12">
        <v>342.61</v>
      </c>
      <c r="G9" s="12">
        <v>3.77</v>
      </c>
      <c r="H9" s="13">
        <v>1196.5999999999999</v>
      </c>
      <c r="I9" s="13">
        <v>24.04</v>
      </c>
      <c r="J9" s="13">
        <v>12.15</v>
      </c>
      <c r="K9" s="13">
        <v>15407</v>
      </c>
      <c r="L9" s="13">
        <v>292.08999999999997</v>
      </c>
      <c r="M9" s="14">
        <v>4.0999999999999996</v>
      </c>
    </row>
    <row r="10" spans="1:13" ht="15" thickBot="1">
      <c r="A10" s="11">
        <v>70</v>
      </c>
      <c r="B10" s="12">
        <v>1585.74</v>
      </c>
      <c r="C10" s="12">
        <v>23.9</v>
      </c>
      <c r="D10" s="12">
        <v>20.64</v>
      </c>
      <c r="E10" s="12">
        <v>16402</v>
      </c>
      <c r="F10" s="12">
        <v>493.17</v>
      </c>
      <c r="G10" s="12">
        <v>3.22</v>
      </c>
      <c r="H10" s="13">
        <v>1474.19</v>
      </c>
      <c r="I10" s="13">
        <v>23.95</v>
      </c>
      <c r="J10" s="13">
        <v>18.25</v>
      </c>
      <c r="K10" s="13">
        <v>17166</v>
      </c>
      <c r="L10" s="13">
        <v>437.12</v>
      </c>
      <c r="M10" s="14">
        <v>3.37</v>
      </c>
    </row>
    <row r="11" spans="1:13" ht="15" thickBot="1">
      <c r="A11" s="11">
        <v>80</v>
      </c>
      <c r="B11" s="12">
        <v>1865.32</v>
      </c>
      <c r="C11" s="12">
        <v>23.78</v>
      </c>
      <c r="D11" s="12">
        <v>27.73</v>
      </c>
      <c r="E11" s="12">
        <v>17739</v>
      </c>
      <c r="F11" s="12">
        <v>659.4</v>
      </c>
      <c r="G11" s="12">
        <v>2.83</v>
      </c>
      <c r="H11" s="13">
        <v>1783.25</v>
      </c>
      <c r="I11" s="13">
        <v>23.83</v>
      </c>
      <c r="J11" s="13">
        <v>24.52</v>
      </c>
      <c r="K11" s="13">
        <v>18809</v>
      </c>
      <c r="L11" s="13">
        <v>584.29999999999995</v>
      </c>
      <c r="M11" s="14">
        <v>3.05</v>
      </c>
    </row>
    <row r="12" spans="1:13" ht="15" thickBot="1">
      <c r="A12" s="11">
        <v>90</v>
      </c>
      <c r="B12" s="12">
        <v>2210.1999999999998</v>
      </c>
      <c r="C12" s="12">
        <v>23.63</v>
      </c>
      <c r="D12" s="12">
        <v>36.729999999999997</v>
      </c>
      <c r="E12" s="12">
        <v>18865</v>
      </c>
      <c r="F12" s="12">
        <v>867.82</v>
      </c>
      <c r="G12" s="12">
        <v>2.5499999999999998</v>
      </c>
      <c r="H12" s="13">
        <v>1969.91</v>
      </c>
      <c r="I12" s="13">
        <v>23.71</v>
      </c>
      <c r="J12" s="13">
        <v>32.06</v>
      </c>
      <c r="K12" s="13">
        <v>20211</v>
      </c>
      <c r="L12" s="13">
        <v>760.06</v>
      </c>
      <c r="M12" s="14">
        <v>2.59</v>
      </c>
    </row>
    <row r="13" spans="1:13" ht="15" thickBot="1">
      <c r="A13" s="15">
        <v>100</v>
      </c>
      <c r="B13" s="16">
        <v>2360.61</v>
      </c>
      <c r="C13" s="16">
        <v>23.48</v>
      </c>
      <c r="D13" s="16">
        <v>45.11</v>
      </c>
      <c r="E13" s="16">
        <v>19617</v>
      </c>
      <c r="F13" s="16">
        <v>1059.1600000000001</v>
      </c>
      <c r="G13" s="16">
        <v>2.23</v>
      </c>
      <c r="H13" s="17">
        <v>2116.5500000000002</v>
      </c>
      <c r="I13" s="17">
        <v>23.54</v>
      </c>
      <c r="J13" s="17">
        <v>41.26</v>
      </c>
      <c r="K13" s="17">
        <v>21357</v>
      </c>
      <c r="L13" s="17">
        <v>971.16</v>
      </c>
      <c r="M13" s="18">
        <v>2.1800000000000002</v>
      </c>
    </row>
    <row r="17" spans="1:29">
      <c r="A17" t="s">
        <v>9</v>
      </c>
    </row>
    <row r="18" spans="1:29">
      <c r="A18">
        <v>2243</v>
      </c>
    </row>
    <row r="19" spans="1:29">
      <c r="A19" t="s">
        <v>10</v>
      </c>
      <c r="Z19" t="s">
        <v>25</v>
      </c>
      <c r="AA19" t="s">
        <v>28</v>
      </c>
    </row>
    <row r="20" spans="1:29">
      <c r="A20">
        <f>A18/4</f>
        <v>560.75</v>
      </c>
      <c r="X20" t="s">
        <v>21</v>
      </c>
      <c r="Y20">
        <v>2200</v>
      </c>
    </row>
    <row r="21" spans="1:29">
      <c r="X21" t="s">
        <v>17</v>
      </c>
      <c r="Y21">
        <f>Y20/4</f>
        <v>550</v>
      </c>
    </row>
    <row r="22" spans="1:29">
      <c r="A22" t="s">
        <v>11</v>
      </c>
      <c r="X22" t="s">
        <v>19</v>
      </c>
      <c r="Y22">
        <f>-0.8301*Y26^2+84.356*Y26 + 226.51</f>
        <v>549.99964271666386</v>
      </c>
      <c r="Z22">
        <v>2200</v>
      </c>
      <c r="AA22">
        <f>Z22*60/1000</f>
        <v>132</v>
      </c>
    </row>
    <row r="23" spans="1:29">
      <c r="A23" t="s">
        <v>12</v>
      </c>
      <c r="B23">
        <f>14.8/22.2</f>
        <v>0.66666666666666674</v>
      </c>
      <c r="X23" t="s">
        <v>20</v>
      </c>
      <c r="Y23">
        <f>-0.3691*Y27^2 + 56.255*Y27 + 226.22</f>
        <v>549.99964039175586</v>
      </c>
      <c r="Z23">
        <v>2200</v>
      </c>
      <c r="AA23">
        <f>Z23*60/1000</f>
        <v>132</v>
      </c>
    </row>
    <row r="24" spans="1:29">
      <c r="A24" t="s">
        <v>13</v>
      </c>
    </row>
    <row r="25" spans="1:29">
      <c r="A25" t="s">
        <v>16</v>
      </c>
      <c r="C25" t="s">
        <v>14</v>
      </c>
      <c r="D25" t="s">
        <v>15</v>
      </c>
      <c r="Y25" t="s">
        <v>23</v>
      </c>
      <c r="Z25" t="s">
        <v>24</v>
      </c>
      <c r="AA25" t="s">
        <v>29</v>
      </c>
      <c r="AB25" t="s">
        <v>27</v>
      </c>
      <c r="AC25" t="s">
        <v>30</v>
      </c>
    </row>
    <row r="26" spans="1:29">
      <c r="A26" cm="1">
        <f t="array" ref="A26:A36">B23*C3:C13</f>
        <v>16.16</v>
      </c>
      <c r="C26" cm="1">
        <f t="array" ref="C26:C36">F3:F13</f>
        <v>51.97</v>
      </c>
      <c r="D26" cm="1">
        <f t="array" ref="D26:D36">_xlfn.ANCHORARRAY(C26)/_xlfn.ANCHORARRAY(A26)</f>
        <v>3.2159653465346532</v>
      </c>
      <c r="X26" t="s">
        <v>18</v>
      </c>
      <c r="Y26">
        <v>3.991601401900414</v>
      </c>
      <c r="Z26">
        <f>Y21</f>
        <v>550</v>
      </c>
      <c r="AA26">
        <f>Y26*4</f>
        <v>15.966405607601656</v>
      </c>
      <c r="AB26">
        <f>AA22/AA26</f>
        <v>8.2673585554631277</v>
      </c>
      <c r="AC26">
        <f>AB26*0.8</f>
        <v>6.6138868443705023</v>
      </c>
    </row>
    <row r="27" spans="1:29">
      <c r="A27">
        <v>16.146666666666668</v>
      </c>
      <c r="C27">
        <v>80.150000000000006</v>
      </c>
      <c r="D27">
        <v>4.9638728323699421</v>
      </c>
      <c r="X27" t="s">
        <v>22</v>
      </c>
      <c r="Y27">
        <v>5.9910714319153735</v>
      </c>
      <c r="Z27">
        <f>Y21</f>
        <v>550</v>
      </c>
      <c r="AA27">
        <f>Y27*4</f>
        <v>23.964285727661494</v>
      </c>
      <c r="AB27">
        <f>AA23/AA27</f>
        <v>5.5081967182370493</v>
      </c>
      <c r="AC27">
        <f>AB27*0.8</f>
        <v>4.4065573745896396</v>
      </c>
    </row>
    <row r="28" spans="1:29">
      <c r="A28">
        <v>16.126666666666669</v>
      </c>
      <c r="C28">
        <v>110.13</v>
      </c>
      <c r="D28">
        <v>6.8290615957007015</v>
      </c>
      <c r="Y28" t="s">
        <v>26</v>
      </c>
    </row>
    <row r="29" spans="1:29">
      <c r="A29">
        <v>16.100000000000001</v>
      </c>
      <c r="C29">
        <v>162.08000000000001</v>
      </c>
      <c r="D29">
        <v>10.067080745341615</v>
      </c>
    </row>
    <row r="30" spans="1:29">
      <c r="A30">
        <v>16.06666666666667</v>
      </c>
      <c r="C30">
        <v>212.9</v>
      </c>
      <c r="D30">
        <v>13.251037344398338</v>
      </c>
    </row>
    <row r="31" spans="1:29">
      <c r="A31">
        <v>16.040000000000003</v>
      </c>
      <c r="C31">
        <v>271.70999999999998</v>
      </c>
      <c r="D31">
        <v>16.93952618453865</v>
      </c>
    </row>
    <row r="32" spans="1:29">
      <c r="A32">
        <v>16.006666666666668</v>
      </c>
      <c r="C32">
        <v>342.61</v>
      </c>
      <c r="D32">
        <v>21.404206580591421</v>
      </c>
    </row>
    <row r="33" spans="1:4">
      <c r="A33">
        <v>15.933333333333334</v>
      </c>
      <c r="C33">
        <v>493.17</v>
      </c>
      <c r="D33">
        <v>30.952092050209206</v>
      </c>
    </row>
    <row r="34" spans="1:4">
      <c r="A34">
        <v>15.853333333333335</v>
      </c>
      <c r="C34">
        <v>659.4</v>
      </c>
      <c r="D34">
        <v>41.593776282590404</v>
      </c>
    </row>
    <row r="35" spans="1:4">
      <c r="A35">
        <v>15.753333333333334</v>
      </c>
      <c r="C35">
        <v>867.82</v>
      </c>
      <c r="D35">
        <v>55.088023698688112</v>
      </c>
    </row>
    <row r="36" spans="1:4">
      <c r="A36">
        <v>15.653333333333336</v>
      </c>
      <c r="C36">
        <v>1059.1600000000001</v>
      </c>
      <c r="D36">
        <v>67.663543441226565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BF5E-7CAE-4845-B422-223395CFF98B}">
  <dimension ref="A1:Z76"/>
  <sheetViews>
    <sheetView tabSelected="1" topLeftCell="B39" zoomScale="58" zoomScaleNormal="58" workbookViewId="0">
      <selection activeCell="O60" sqref="O60"/>
    </sheetView>
  </sheetViews>
  <sheetFormatPr defaultRowHeight="14.4"/>
  <cols>
    <col min="1" max="1" width="27.77734375" customWidth="1"/>
    <col min="2" max="2" width="27.21875" customWidth="1"/>
    <col min="3" max="3" width="12.44140625" customWidth="1"/>
    <col min="6" max="6" width="14.77734375" customWidth="1"/>
    <col min="7" max="7" width="16" customWidth="1"/>
    <col min="9" max="9" width="12.6640625" customWidth="1"/>
    <col min="12" max="12" width="14.33203125" customWidth="1"/>
    <col min="15" max="15" width="29.109375" customWidth="1"/>
    <col min="16" max="16" width="12.5546875" customWidth="1"/>
    <col min="17" max="17" width="14.77734375" customWidth="1"/>
    <col min="19" max="19" width="16.77734375" customWidth="1"/>
    <col min="21" max="21" width="12.109375" customWidth="1"/>
  </cols>
  <sheetData>
    <row r="1" spans="1:26">
      <c r="A1" s="19" t="s">
        <v>36</v>
      </c>
      <c r="B1" s="27" t="s">
        <v>38</v>
      </c>
      <c r="C1" s="20" t="s">
        <v>4</v>
      </c>
      <c r="D1" s="20" t="s">
        <v>3</v>
      </c>
      <c r="E1" s="20" t="s">
        <v>5</v>
      </c>
      <c r="F1" s="20" t="s">
        <v>7</v>
      </c>
      <c r="G1" s="20" t="s">
        <v>8</v>
      </c>
      <c r="H1" t="s">
        <v>6</v>
      </c>
      <c r="I1" s="32" t="s">
        <v>42</v>
      </c>
      <c r="J1" s="20" t="s">
        <v>3</v>
      </c>
      <c r="K1" s="20" t="s">
        <v>5</v>
      </c>
      <c r="L1" s="20" t="s">
        <v>7</v>
      </c>
      <c r="M1" s="21" t="s">
        <v>8</v>
      </c>
    </row>
    <row r="2" spans="1:26">
      <c r="A2" s="23" t="s">
        <v>39</v>
      </c>
      <c r="B2" t="s">
        <v>35</v>
      </c>
      <c r="C2">
        <v>22.2</v>
      </c>
      <c r="D2">
        <v>500</v>
      </c>
      <c r="E2">
        <v>1.9</v>
      </c>
      <c r="F2">
        <v>42</v>
      </c>
      <c r="G2">
        <v>11.85</v>
      </c>
      <c r="I2" s="29" t="s">
        <v>43</v>
      </c>
      <c r="J2" cm="1">
        <f t="array" ref="J2:J6">D2:D6*(14.8/22.2)^2</f>
        <v>222.22222222222226</v>
      </c>
      <c r="K2" cm="1">
        <f t="array" ref="K2:K6">E2:E6*(14.8/22.2)^2</f>
        <v>0.84444444444444455</v>
      </c>
      <c r="L2" cm="1">
        <f t="array" ref="L2:L6">F2:F6*(14.8/22.2)^3</f>
        <v>12.444444444444448</v>
      </c>
      <c r="M2" s="22" cm="1">
        <f t="array" ref="M2:M6">G2:G6*22.2/14.8</f>
        <v>17.774999999999999</v>
      </c>
    </row>
    <row r="3" spans="1:26">
      <c r="A3" s="23" t="s">
        <v>32</v>
      </c>
      <c r="B3">
        <v>165</v>
      </c>
      <c r="C3">
        <v>22.2</v>
      </c>
      <c r="D3">
        <v>1000</v>
      </c>
      <c r="E3">
        <v>4.9000000000000004</v>
      </c>
      <c r="F3">
        <v>109</v>
      </c>
      <c r="G3">
        <v>9.19</v>
      </c>
      <c r="I3" s="28"/>
      <c r="J3">
        <v>444.44444444444451</v>
      </c>
      <c r="K3">
        <v>2.1777777777777785</v>
      </c>
      <c r="L3">
        <v>32.296296296296305</v>
      </c>
      <c r="M3" s="22">
        <v>13.784999999999997</v>
      </c>
      <c r="Y3" t="s">
        <v>59</v>
      </c>
      <c r="Z3" t="s">
        <v>60</v>
      </c>
    </row>
    <row r="4" spans="1:26">
      <c r="A4" s="23" t="s">
        <v>33</v>
      </c>
      <c r="B4">
        <v>400</v>
      </c>
      <c r="C4">
        <v>22.2</v>
      </c>
      <c r="D4">
        <v>1500</v>
      </c>
      <c r="E4">
        <v>9.1999999999999993</v>
      </c>
      <c r="F4">
        <v>204</v>
      </c>
      <c r="G4">
        <v>7.34</v>
      </c>
      <c r="I4" s="28"/>
      <c r="J4">
        <v>666.66666666666674</v>
      </c>
      <c r="K4">
        <v>4.0888888888888895</v>
      </c>
      <c r="L4">
        <v>60.444444444444464</v>
      </c>
      <c r="M4" s="22">
        <v>11.009999999999998</v>
      </c>
      <c r="Y4">
        <v>400</v>
      </c>
      <c r="Z4">
        <v>15</v>
      </c>
    </row>
    <row r="5" spans="1:26">
      <c r="A5" s="23"/>
      <c r="C5">
        <v>22.2</v>
      </c>
      <c r="D5">
        <v>2000</v>
      </c>
      <c r="E5">
        <v>14.2</v>
      </c>
      <c r="F5">
        <v>315</v>
      </c>
      <c r="G5">
        <v>6.34</v>
      </c>
      <c r="I5" s="28"/>
      <c r="J5">
        <v>888.88888888888903</v>
      </c>
      <c r="K5">
        <v>6.3111111111111118</v>
      </c>
      <c r="L5">
        <v>93.333333333333357</v>
      </c>
      <c r="M5" s="22">
        <v>9.509999999999998</v>
      </c>
      <c r="Y5">
        <v>780</v>
      </c>
      <c r="Z5">
        <v>13</v>
      </c>
    </row>
    <row r="6" spans="1:26" ht="15" thickBot="1">
      <c r="A6" s="24"/>
      <c r="B6" s="25"/>
      <c r="C6" s="25">
        <v>22.2</v>
      </c>
      <c r="D6" s="25">
        <v>2430</v>
      </c>
      <c r="E6" s="25">
        <v>18.8</v>
      </c>
      <c r="F6" s="25">
        <v>417</v>
      </c>
      <c r="G6" s="25">
        <v>5.82</v>
      </c>
      <c r="I6" s="31"/>
      <c r="J6" s="25">
        <v>1080.0000000000002</v>
      </c>
      <c r="K6" s="25">
        <v>8.3555555555555578</v>
      </c>
      <c r="L6" s="25">
        <v>123.5555555555556</v>
      </c>
      <c r="M6" s="26">
        <v>8.73</v>
      </c>
      <c r="Y6">
        <v>1150</v>
      </c>
      <c r="Z6">
        <v>8</v>
      </c>
    </row>
    <row r="7" spans="1:26">
      <c r="A7" s="19" t="s">
        <v>36</v>
      </c>
      <c r="B7" s="20" t="s">
        <v>40</v>
      </c>
      <c r="C7" s="20" t="s">
        <v>4</v>
      </c>
      <c r="D7" s="20" t="s">
        <v>3</v>
      </c>
      <c r="E7" s="20" t="s">
        <v>5</v>
      </c>
      <c r="F7" s="20" t="s">
        <v>7</v>
      </c>
      <c r="G7" s="20" t="s">
        <v>8</v>
      </c>
      <c r="H7" t="s">
        <v>6</v>
      </c>
      <c r="I7" s="30"/>
      <c r="J7" s="20"/>
      <c r="K7" s="20"/>
      <c r="L7" s="20"/>
      <c r="M7" s="21"/>
      <c r="Y7">
        <v>1300</v>
      </c>
      <c r="Z7">
        <v>7</v>
      </c>
    </row>
    <row r="8" spans="1:26">
      <c r="A8" s="23" t="s">
        <v>39</v>
      </c>
      <c r="B8" t="s">
        <v>41</v>
      </c>
      <c r="C8">
        <v>14.8</v>
      </c>
      <c r="D8">
        <v>500</v>
      </c>
      <c r="E8">
        <v>3.6</v>
      </c>
      <c r="F8">
        <v>53.28</v>
      </c>
      <c r="G8">
        <v>9.3800000000000008</v>
      </c>
      <c r="H8">
        <v>3829</v>
      </c>
      <c r="I8" s="28"/>
      <c r="M8" s="22"/>
    </row>
    <row r="9" spans="1:26">
      <c r="A9" s="23" t="s">
        <v>32</v>
      </c>
      <c r="B9">
        <v>219</v>
      </c>
      <c r="D9">
        <v>750</v>
      </c>
      <c r="E9">
        <v>6.2</v>
      </c>
      <c r="F9">
        <v>91.76</v>
      </c>
      <c r="G9">
        <v>8.17</v>
      </c>
      <c r="H9">
        <v>4506</v>
      </c>
      <c r="I9" s="28"/>
      <c r="M9" s="22"/>
    </row>
    <row r="10" spans="1:26">
      <c r="A10" s="23" t="s">
        <v>33</v>
      </c>
      <c r="B10">
        <v>780</v>
      </c>
      <c r="D10">
        <v>1000</v>
      </c>
      <c r="E10">
        <v>9.3000000000000007</v>
      </c>
      <c r="F10">
        <v>137.63999999999999</v>
      </c>
      <c r="G10">
        <v>7.27</v>
      </c>
      <c r="H10">
        <v>5190</v>
      </c>
      <c r="I10" s="28"/>
      <c r="M10" s="22"/>
    </row>
    <row r="11" spans="1:26">
      <c r="A11" s="23"/>
      <c r="D11">
        <v>1250</v>
      </c>
      <c r="E11">
        <v>12.7</v>
      </c>
      <c r="F11">
        <v>187.96</v>
      </c>
      <c r="G11">
        <v>6.65</v>
      </c>
      <c r="H11">
        <v>5760</v>
      </c>
      <c r="I11" s="28"/>
      <c r="K11" t="s">
        <v>44</v>
      </c>
      <c r="M11" s="22"/>
    </row>
    <row r="12" spans="1:26">
      <c r="A12" s="23"/>
      <c r="D12">
        <v>1500</v>
      </c>
      <c r="E12">
        <v>16.899999999999999</v>
      </c>
      <c r="F12">
        <v>250.12</v>
      </c>
      <c r="G12">
        <v>6</v>
      </c>
      <c r="H12">
        <v>6369</v>
      </c>
      <c r="I12" s="28"/>
      <c r="M12" s="22"/>
    </row>
    <row r="13" spans="1:26">
      <c r="A13" s="23"/>
      <c r="D13">
        <v>1750</v>
      </c>
      <c r="E13">
        <v>21</v>
      </c>
      <c r="F13">
        <v>310.8</v>
      </c>
      <c r="G13">
        <v>5.63</v>
      </c>
      <c r="H13">
        <v>6787</v>
      </c>
      <c r="I13" s="28"/>
      <c r="M13" s="22"/>
    </row>
    <row r="14" spans="1:26">
      <c r="A14" s="23"/>
      <c r="D14">
        <v>2000</v>
      </c>
      <c r="E14">
        <v>26</v>
      </c>
      <c r="F14">
        <v>384.8</v>
      </c>
      <c r="G14">
        <v>5.2</v>
      </c>
      <c r="H14">
        <v>7250</v>
      </c>
      <c r="I14" s="28"/>
      <c r="M14" s="22"/>
    </row>
    <row r="15" spans="1:26">
      <c r="A15" s="23"/>
      <c r="D15">
        <v>2250</v>
      </c>
      <c r="E15">
        <v>31</v>
      </c>
      <c r="F15">
        <v>458.8</v>
      </c>
      <c r="G15">
        <v>4.9000000000000004</v>
      </c>
      <c r="H15">
        <v>7650</v>
      </c>
      <c r="I15" s="28"/>
      <c r="M15" s="22"/>
    </row>
    <row r="16" spans="1:26">
      <c r="A16" s="23"/>
      <c r="D16">
        <v>2500</v>
      </c>
      <c r="E16">
        <v>36.799999999999997</v>
      </c>
      <c r="F16">
        <v>544.64</v>
      </c>
      <c r="G16">
        <v>4.59</v>
      </c>
      <c r="H16">
        <v>8029</v>
      </c>
      <c r="I16" s="28"/>
      <c r="M16" s="22"/>
    </row>
    <row r="17" spans="1:26">
      <c r="A17" s="23"/>
      <c r="D17">
        <v>2750</v>
      </c>
      <c r="E17">
        <v>43.7</v>
      </c>
      <c r="F17">
        <v>646.76</v>
      </c>
      <c r="G17">
        <v>4.25</v>
      </c>
      <c r="H17">
        <v>8410</v>
      </c>
      <c r="I17" s="28"/>
      <c r="M17" s="22"/>
    </row>
    <row r="18" spans="1:26" ht="15" thickBot="1">
      <c r="A18" s="24"/>
      <c r="B18" s="25"/>
      <c r="C18" s="25"/>
      <c r="D18" s="25">
        <v>3260</v>
      </c>
      <c r="E18" s="25">
        <v>58.6</v>
      </c>
      <c r="F18" s="25">
        <v>867.28</v>
      </c>
      <c r="G18" s="25">
        <v>3.76</v>
      </c>
      <c r="H18">
        <v>9030</v>
      </c>
      <c r="I18" s="31"/>
      <c r="J18" s="25"/>
      <c r="K18" s="25"/>
      <c r="L18" s="25"/>
      <c r="M18" s="26"/>
    </row>
    <row r="19" spans="1:26">
      <c r="A19" s="19" t="s">
        <v>36</v>
      </c>
      <c r="B19" s="20"/>
      <c r="C19" s="20" t="s">
        <v>4</v>
      </c>
      <c r="D19" s="20" t="s">
        <v>3</v>
      </c>
      <c r="E19" s="20" t="s">
        <v>5</v>
      </c>
      <c r="F19" s="20" t="s">
        <v>7</v>
      </c>
      <c r="G19" s="20" t="s">
        <v>8</v>
      </c>
      <c r="I19" s="30"/>
      <c r="J19" s="20"/>
      <c r="K19" s="20"/>
      <c r="L19" s="20"/>
      <c r="M19" s="21"/>
    </row>
    <row r="20" spans="1:26">
      <c r="A20" s="23" t="s">
        <v>39</v>
      </c>
      <c r="B20" t="s">
        <v>56</v>
      </c>
      <c r="C20">
        <v>15.88</v>
      </c>
      <c r="D20">
        <v>394</v>
      </c>
      <c r="E20">
        <v>5.0199999999999996</v>
      </c>
      <c r="F20">
        <v>79.680000000000007</v>
      </c>
      <c r="G20">
        <v>4.95</v>
      </c>
      <c r="I20" s="28"/>
      <c r="M20" s="22"/>
    </row>
    <row r="21" spans="1:26">
      <c r="A21" s="23" t="s">
        <v>32</v>
      </c>
      <c r="B21">
        <v>63</v>
      </c>
      <c r="C21">
        <v>15.87</v>
      </c>
      <c r="D21">
        <v>463</v>
      </c>
      <c r="E21">
        <v>5.91</v>
      </c>
      <c r="F21">
        <v>93.82</v>
      </c>
      <c r="G21">
        <v>4.9400000000000004</v>
      </c>
      <c r="I21" s="28"/>
      <c r="M21" s="22"/>
      <c r="R21" t="s">
        <v>25</v>
      </c>
      <c r="S21">
        <v>2200</v>
      </c>
      <c r="T21" t="s">
        <v>28</v>
      </c>
      <c r="U21">
        <f>2200*60/1000</f>
        <v>132</v>
      </c>
    </row>
    <row r="22" spans="1:26">
      <c r="A22" s="23" t="s">
        <v>33</v>
      </c>
      <c r="B22">
        <v>1150</v>
      </c>
      <c r="C22">
        <v>15.85</v>
      </c>
      <c r="D22">
        <v>506</v>
      </c>
      <c r="E22">
        <v>6.89</v>
      </c>
      <c r="F22">
        <v>109.23</v>
      </c>
      <c r="G22">
        <v>4.63</v>
      </c>
      <c r="I22" s="28"/>
      <c r="M22" s="22"/>
      <c r="R22" t="s">
        <v>45</v>
      </c>
      <c r="U22" t="s">
        <v>51</v>
      </c>
    </row>
    <row r="23" spans="1:26">
      <c r="A23" s="23"/>
      <c r="C23">
        <v>15.83</v>
      </c>
      <c r="D23">
        <v>553</v>
      </c>
      <c r="E23">
        <v>7.89</v>
      </c>
      <c r="F23">
        <v>124.93</v>
      </c>
      <c r="G23">
        <v>4.42</v>
      </c>
      <c r="I23" s="28"/>
      <c r="M23" s="22"/>
      <c r="R23" t="s">
        <v>49</v>
      </c>
      <c r="S23" t="s">
        <v>50</v>
      </c>
      <c r="T23" t="s">
        <v>52</v>
      </c>
      <c r="U23" t="s">
        <v>53</v>
      </c>
      <c r="V23" t="s">
        <v>54</v>
      </c>
      <c r="W23" t="s">
        <v>55</v>
      </c>
    </row>
    <row r="24" spans="1:26">
      <c r="A24" s="23"/>
      <c r="C24">
        <v>15.8</v>
      </c>
      <c r="D24">
        <v>608</v>
      </c>
      <c r="E24">
        <v>9.11</v>
      </c>
      <c r="F24">
        <v>143.83000000000001</v>
      </c>
      <c r="G24">
        <v>4.22</v>
      </c>
      <c r="I24" s="28"/>
      <c r="M24" s="22"/>
      <c r="R24" t="s">
        <v>46</v>
      </c>
      <c r="S24">
        <f>2000+4*B3</f>
        <v>2660</v>
      </c>
      <c r="T24" cm="1">
        <f t="array" ref="T24:T28">S24:S28/4</f>
        <v>665</v>
      </c>
      <c r="U24">
        <f>-5.1158*V24^2 + 158.82*V24 + 103.56</f>
        <v>664.9999997162015</v>
      </c>
      <c r="V24">
        <v>4.0681680109285887</v>
      </c>
      <c r="W24" cm="1">
        <f t="array" ref="W24:W28">0.8*U21/(4*V24:V28)</f>
        <v>6.4894074996607651</v>
      </c>
    </row>
    <row r="25" spans="1:26">
      <c r="A25" s="23"/>
      <c r="C25">
        <v>15.77</v>
      </c>
      <c r="D25">
        <v>654</v>
      </c>
      <c r="E25">
        <v>10.32</v>
      </c>
      <c r="F25">
        <v>162.75</v>
      </c>
      <c r="G25">
        <v>4.0199999999999996</v>
      </c>
      <c r="I25" s="28"/>
      <c r="K25" t="s">
        <v>44</v>
      </c>
      <c r="M25" s="22"/>
      <c r="R25" t="s">
        <v>47</v>
      </c>
      <c r="S25">
        <f>2000+4*B9</f>
        <v>2876</v>
      </c>
      <c r="T25">
        <v>719</v>
      </c>
      <c r="U25">
        <f>-0.4868*V25^2 + 78.775*V25 + 284.43</f>
        <v>718.99995954974702</v>
      </c>
      <c r="V25">
        <v>5.7186924229232252</v>
      </c>
      <c r="W25">
        <v>4.6164399215065863</v>
      </c>
      <c r="Y25" t="s">
        <v>58</v>
      </c>
    </row>
    <row r="26" spans="1:26">
      <c r="A26" s="23"/>
      <c r="C26">
        <v>15.74</v>
      </c>
      <c r="D26">
        <v>726</v>
      </c>
      <c r="E26">
        <v>11.81</v>
      </c>
      <c r="F26">
        <v>185.82</v>
      </c>
      <c r="G26">
        <v>3.91</v>
      </c>
      <c r="I26" s="28"/>
      <c r="M26" s="22"/>
      <c r="R26" t="s">
        <v>66</v>
      </c>
      <c r="S26">
        <f>2000+B54*4</f>
        <v>2340</v>
      </c>
      <c r="T26">
        <v>585</v>
      </c>
      <c r="W26" t="e">
        <v>#DIV/0!</v>
      </c>
      <c r="Y26">
        <v>600</v>
      </c>
      <c r="Z26">
        <v>600</v>
      </c>
    </row>
    <row r="27" spans="1:26">
      <c r="A27" s="23"/>
      <c r="C27">
        <v>15.69</v>
      </c>
      <c r="D27">
        <v>815</v>
      </c>
      <c r="E27">
        <v>13.86</v>
      </c>
      <c r="F27">
        <v>217.42</v>
      </c>
      <c r="G27">
        <v>3.75</v>
      </c>
      <c r="I27" s="28"/>
      <c r="M27" s="22"/>
      <c r="R27" t="s">
        <v>57</v>
      </c>
      <c r="S27">
        <f>2000+4*B21</f>
        <v>2252</v>
      </c>
      <c r="T27">
        <v>563</v>
      </c>
      <c r="U27">
        <f>-0.6724*V27^2 + 59.118*V27 + 125.38</f>
        <v>562.99976103137715</v>
      </c>
      <c r="V27">
        <v>8.1597723206337314</v>
      </c>
      <c r="W27">
        <v>3.235384390964188</v>
      </c>
      <c r="Y27">
        <v>0</v>
      </c>
      <c r="Z27">
        <v>60</v>
      </c>
    </row>
    <row r="28" spans="1:26">
      <c r="A28" s="23"/>
      <c r="C28">
        <v>15.64</v>
      </c>
      <c r="D28">
        <v>912</v>
      </c>
      <c r="E28">
        <v>16.18</v>
      </c>
      <c r="F28">
        <v>253.03</v>
      </c>
      <c r="G28">
        <v>3.6</v>
      </c>
      <c r="I28" s="28"/>
      <c r="M28" s="22"/>
      <c r="R28" t="s">
        <v>48</v>
      </c>
      <c r="S28">
        <f>2000+4*B33</f>
        <v>2186.4</v>
      </c>
      <c r="T28">
        <v>546.6</v>
      </c>
      <c r="U28">
        <f>-1.8677*V28^2 + 84.356*V28 + 100.67</f>
        <v>546.60000358389584</v>
      </c>
      <c r="V28">
        <v>6.1139009364427546</v>
      </c>
      <c r="W28">
        <v>4.3180287470212582</v>
      </c>
    </row>
    <row r="29" spans="1:26">
      <c r="A29" s="23"/>
      <c r="C29">
        <v>15.51</v>
      </c>
      <c r="D29">
        <v>1088</v>
      </c>
      <c r="E29">
        <v>21.49</v>
      </c>
      <c r="F29">
        <v>333.35</v>
      </c>
      <c r="G29">
        <v>3.26</v>
      </c>
      <c r="I29" s="28"/>
      <c r="M29" s="22"/>
    </row>
    <row r="30" spans="1:26" ht="15" thickBot="1">
      <c r="A30" s="24"/>
      <c r="B30" s="25"/>
      <c r="C30" s="25">
        <v>15.47</v>
      </c>
      <c r="D30" s="25">
        <v>1129</v>
      </c>
      <c r="E30" s="25">
        <v>23.1</v>
      </c>
      <c r="F30" s="25">
        <v>357.33</v>
      </c>
      <c r="G30" s="25">
        <v>3.16</v>
      </c>
      <c r="I30" s="31"/>
      <c r="J30" s="25"/>
      <c r="K30" s="25"/>
      <c r="L30" s="25"/>
      <c r="M30" s="26"/>
    </row>
    <row r="31" spans="1:26">
      <c r="A31" s="19" t="s">
        <v>36</v>
      </c>
      <c r="B31" s="27" t="s">
        <v>37</v>
      </c>
      <c r="C31" s="20" t="s">
        <v>4</v>
      </c>
      <c r="D31" s="20" t="s">
        <v>3</v>
      </c>
      <c r="E31" s="20" t="s">
        <v>5</v>
      </c>
      <c r="F31" s="20" t="s">
        <v>7</v>
      </c>
      <c r="G31" s="20" t="s">
        <v>8</v>
      </c>
      <c r="H31" t="s">
        <v>6</v>
      </c>
      <c r="I31" s="30"/>
      <c r="J31" s="20" t="s">
        <v>3</v>
      </c>
      <c r="K31" s="20" t="s">
        <v>5</v>
      </c>
      <c r="L31" s="20" t="s">
        <v>7</v>
      </c>
      <c r="M31" s="21" t="s">
        <v>8</v>
      </c>
    </row>
    <row r="32" spans="1:26">
      <c r="A32" s="23" t="s">
        <v>39</v>
      </c>
      <c r="B32" t="s">
        <v>34</v>
      </c>
      <c r="C32">
        <v>24.24</v>
      </c>
      <c r="D32">
        <v>353.46</v>
      </c>
      <c r="E32">
        <v>2.14</v>
      </c>
      <c r="F32">
        <v>51.97</v>
      </c>
      <c r="G32">
        <v>6.8</v>
      </c>
      <c r="H32" s="33">
        <v>8192</v>
      </c>
      <c r="I32" s="28"/>
      <c r="J32">
        <f t="shared" ref="J32:J42" si="0">D32*(14.8/22.2)^2</f>
        <v>157.09333333333336</v>
      </c>
      <c r="K32" cm="1">
        <f t="array" ref="K32:K42">E32:E42*(14.8/22.2)^2</f>
        <v>0.95111111111111135</v>
      </c>
      <c r="L32" cm="1">
        <f t="array" ref="L32:L42">F32:F42*(14.8/22.2)^3</f>
        <v>15.398518518518523</v>
      </c>
      <c r="M32" s="22" cm="1">
        <f t="array" ref="M32:M42">G32:G42*22.2/14.8</f>
        <v>10.199999999999998</v>
      </c>
    </row>
    <row r="33" spans="1:14">
      <c r="A33" s="23" t="s">
        <v>32</v>
      </c>
      <c r="B33">
        <v>46.6</v>
      </c>
      <c r="C33">
        <v>24.22</v>
      </c>
      <c r="D33">
        <v>478.74</v>
      </c>
      <c r="E33">
        <v>3.31</v>
      </c>
      <c r="F33">
        <v>80.150000000000006</v>
      </c>
      <c r="G33">
        <v>5.97</v>
      </c>
      <c r="H33" s="33">
        <v>9342</v>
      </c>
      <c r="I33" s="28"/>
      <c r="J33">
        <f t="shared" si="0"/>
        <v>212.77333333333337</v>
      </c>
      <c r="K33">
        <v>1.4711111111111115</v>
      </c>
      <c r="L33">
        <v>23.748148148148157</v>
      </c>
      <c r="M33" s="22">
        <v>8.9549999999999983</v>
      </c>
    </row>
    <row r="34" spans="1:14">
      <c r="A34" s="23" t="s">
        <v>33</v>
      </c>
      <c r="B34">
        <v>1300</v>
      </c>
      <c r="C34">
        <v>24.19</v>
      </c>
      <c r="D34">
        <v>596.38</v>
      </c>
      <c r="E34">
        <v>4.55</v>
      </c>
      <c r="F34">
        <v>110.13</v>
      </c>
      <c r="G34">
        <v>5.42</v>
      </c>
      <c r="H34" s="33">
        <v>10488</v>
      </c>
      <c r="I34" s="28"/>
      <c r="J34">
        <f t="shared" si="0"/>
        <v>265.0577777777778</v>
      </c>
      <c r="K34">
        <v>2.0222222222222226</v>
      </c>
      <c r="L34">
        <v>32.631111111111117</v>
      </c>
      <c r="M34" s="22">
        <v>8.129999999999999</v>
      </c>
    </row>
    <row r="35" spans="1:14">
      <c r="A35" s="23"/>
      <c r="C35">
        <v>24.15</v>
      </c>
      <c r="D35">
        <v>758.3</v>
      </c>
      <c r="E35">
        <v>6.71</v>
      </c>
      <c r="F35">
        <v>162.08000000000001</v>
      </c>
      <c r="G35">
        <v>4.68</v>
      </c>
      <c r="H35" s="33">
        <v>11716</v>
      </c>
      <c r="I35" s="28"/>
      <c r="J35">
        <f t="shared" si="0"/>
        <v>337.02222222222224</v>
      </c>
      <c r="K35">
        <v>2.982222222222223</v>
      </c>
      <c r="L35">
        <v>48.023703703703724</v>
      </c>
      <c r="M35" s="22">
        <v>7.0199999999999987</v>
      </c>
    </row>
    <row r="36" spans="1:14">
      <c r="A36" s="23"/>
      <c r="C36">
        <v>24.1</v>
      </c>
      <c r="D36">
        <v>947.57</v>
      </c>
      <c r="E36">
        <v>8.83</v>
      </c>
      <c r="F36">
        <v>212.9</v>
      </c>
      <c r="G36">
        <v>4.45</v>
      </c>
      <c r="H36" s="33">
        <v>12801</v>
      </c>
      <c r="I36" s="28"/>
      <c r="J36">
        <f t="shared" si="0"/>
        <v>421.1422222222223</v>
      </c>
      <c r="K36">
        <v>3.9244444444444451</v>
      </c>
      <c r="L36">
        <v>63.081481481481504</v>
      </c>
      <c r="M36" s="22">
        <v>6.6749999999999998</v>
      </c>
    </row>
    <row r="37" spans="1:14">
      <c r="A37" s="23"/>
      <c r="C37">
        <v>24.06</v>
      </c>
      <c r="D37">
        <v>1131.8</v>
      </c>
      <c r="E37">
        <v>11.29</v>
      </c>
      <c r="F37">
        <v>271.70999999999998</v>
      </c>
      <c r="G37">
        <v>4.17</v>
      </c>
      <c r="H37" s="33">
        <v>13891</v>
      </c>
      <c r="I37" s="28"/>
      <c r="J37">
        <f t="shared" si="0"/>
        <v>503.0222222222223</v>
      </c>
      <c r="K37">
        <v>5.0177777777777788</v>
      </c>
      <c r="L37">
        <v>80.506666666666689</v>
      </c>
      <c r="M37" s="22">
        <v>6.2549999999999999</v>
      </c>
    </row>
    <row r="38" spans="1:14">
      <c r="A38" s="23"/>
      <c r="C38">
        <v>24.01</v>
      </c>
      <c r="D38">
        <v>1290.19</v>
      </c>
      <c r="E38">
        <v>14.27</v>
      </c>
      <c r="F38">
        <v>342.61</v>
      </c>
      <c r="G38">
        <v>3.77</v>
      </c>
      <c r="H38" s="33">
        <v>14807</v>
      </c>
      <c r="I38" s="28"/>
      <c r="J38">
        <f t="shared" si="0"/>
        <v>573.41777777777793</v>
      </c>
      <c r="K38">
        <v>6.3422222222222233</v>
      </c>
      <c r="L38">
        <v>101.51407407407412</v>
      </c>
      <c r="M38" s="22">
        <v>5.6550000000000002</v>
      </c>
    </row>
    <row r="39" spans="1:14">
      <c r="A39" s="23"/>
      <c r="C39">
        <v>23.9</v>
      </c>
      <c r="D39">
        <v>1585.74</v>
      </c>
      <c r="E39">
        <v>20.64</v>
      </c>
      <c r="F39">
        <v>493.17</v>
      </c>
      <c r="G39">
        <v>3.22</v>
      </c>
      <c r="H39" s="33">
        <v>16402</v>
      </c>
      <c r="I39" s="28"/>
      <c r="J39">
        <f t="shared" si="0"/>
        <v>704.77333333333343</v>
      </c>
      <c r="K39">
        <v>9.1733333333333356</v>
      </c>
      <c r="L39">
        <v>146.12444444444449</v>
      </c>
      <c r="M39" s="22">
        <v>4.83</v>
      </c>
    </row>
    <row r="40" spans="1:14">
      <c r="A40" s="23"/>
      <c r="C40">
        <v>23.78</v>
      </c>
      <c r="D40">
        <v>1865.32</v>
      </c>
      <c r="E40">
        <v>27.73</v>
      </c>
      <c r="F40">
        <v>659.4</v>
      </c>
      <c r="G40">
        <v>2.83</v>
      </c>
      <c r="H40" s="33">
        <v>17739</v>
      </c>
      <c r="I40" s="28"/>
      <c r="J40">
        <f t="shared" si="0"/>
        <v>829.03111111111127</v>
      </c>
      <c r="K40">
        <v>12.324444444444447</v>
      </c>
      <c r="L40">
        <v>195.37777777777782</v>
      </c>
      <c r="M40" s="22">
        <v>4.2450000000000001</v>
      </c>
    </row>
    <row r="41" spans="1:14">
      <c r="A41" s="23"/>
      <c r="C41">
        <v>23.63</v>
      </c>
      <c r="D41">
        <v>2210.1999999999998</v>
      </c>
      <c r="E41">
        <v>36.729999999999997</v>
      </c>
      <c r="F41">
        <v>867.82</v>
      </c>
      <c r="G41">
        <v>2.5499999999999998</v>
      </c>
      <c r="H41" s="33">
        <v>18865</v>
      </c>
      <c r="I41" s="28"/>
      <c r="J41">
        <f t="shared" si="0"/>
        <v>982.31111111111125</v>
      </c>
      <c r="K41">
        <v>16.324444444444445</v>
      </c>
      <c r="L41">
        <v>257.13185185185193</v>
      </c>
      <c r="M41" s="22">
        <v>3.8249999999999993</v>
      </c>
    </row>
    <row r="42" spans="1:14" ht="15" thickBot="1">
      <c r="A42" s="23"/>
      <c r="C42">
        <v>23.48</v>
      </c>
      <c r="D42">
        <v>2360.61</v>
      </c>
      <c r="E42">
        <v>45.11</v>
      </c>
      <c r="F42">
        <v>1059.1600000000001</v>
      </c>
      <c r="G42">
        <v>2.23</v>
      </c>
      <c r="H42" s="33">
        <v>19617</v>
      </c>
      <c r="I42" s="28"/>
      <c r="J42">
        <f t="shared" si="0"/>
        <v>1049.1600000000003</v>
      </c>
      <c r="K42">
        <v>20.048888888888893</v>
      </c>
      <c r="L42">
        <v>313.82518518518532</v>
      </c>
      <c r="M42" s="22">
        <v>3.3449999999999998</v>
      </c>
    </row>
    <row r="43" spans="1:14">
      <c r="A43" s="19" t="s">
        <v>61</v>
      </c>
      <c r="B43" s="27" t="s">
        <v>62</v>
      </c>
      <c r="C43" s="20"/>
      <c r="D43" s="20"/>
      <c r="E43" s="20"/>
      <c r="F43" s="20"/>
      <c r="G43" s="20"/>
      <c r="H43" s="20"/>
      <c r="I43" s="20" t="s">
        <v>4</v>
      </c>
      <c r="J43" s="20" t="s">
        <v>3</v>
      </c>
      <c r="K43" s="20" t="s">
        <v>5</v>
      </c>
      <c r="L43" s="20" t="s">
        <v>7</v>
      </c>
      <c r="M43" s="20" t="s">
        <v>8</v>
      </c>
      <c r="N43" s="21" t="s">
        <v>6</v>
      </c>
    </row>
    <row r="44" spans="1:14">
      <c r="A44" s="23" t="s">
        <v>39</v>
      </c>
      <c r="B44" t="s">
        <v>63</v>
      </c>
      <c r="J44">
        <v>500</v>
      </c>
      <c r="K44">
        <v>6</v>
      </c>
      <c r="L44">
        <v>88.8</v>
      </c>
      <c r="M44">
        <v>5.63</v>
      </c>
      <c r="N44" s="22">
        <v>6795</v>
      </c>
    </row>
    <row r="45" spans="1:14">
      <c r="A45" s="23" t="s">
        <v>32</v>
      </c>
      <c r="B45">
        <v>110</v>
      </c>
      <c r="J45">
        <v>750</v>
      </c>
      <c r="K45">
        <v>10</v>
      </c>
      <c r="L45">
        <v>148</v>
      </c>
      <c r="M45">
        <v>5.07</v>
      </c>
      <c r="N45" s="22">
        <v>8200</v>
      </c>
    </row>
    <row r="46" spans="1:14">
      <c r="A46" s="23" t="s">
        <v>33</v>
      </c>
      <c r="B46">
        <v>1250</v>
      </c>
      <c r="J46">
        <v>1000</v>
      </c>
      <c r="K46">
        <v>14.7</v>
      </c>
      <c r="L46">
        <v>217.56</v>
      </c>
      <c r="M46">
        <v>4.5999999999999996</v>
      </c>
      <c r="N46" s="22">
        <v>9379</v>
      </c>
    </row>
    <row r="47" spans="1:14">
      <c r="A47" s="23"/>
      <c r="J47">
        <v>1250</v>
      </c>
      <c r="K47">
        <v>20.100000000000001</v>
      </c>
      <c r="L47">
        <v>297.48</v>
      </c>
      <c r="M47">
        <v>4.2</v>
      </c>
      <c r="N47" s="22">
        <v>10336</v>
      </c>
    </row>
    <row r="48" spans="1:14">
      <c r="A48" s="23"/>
      <c r="J48">
        <v>1500</v>
      </c>
      <c r="K48">
        <v>26.2</v>
      </c>
      <c r="L48">
        <v>387.76</v>
      </c>
      <c r="M48">
        <v>3.87</v>
      </c>
      <c r="N48" s="22">
        <v>11271</v>
      </c>
    </row>
    <row r="49" spans="1:14">
      <c r="A49" s="23"/>
      <c r="J49">
        <v>1750</v>
      </c>
      <c r="K49">
        <v>32.9</v>
      </c>
      <c r="L49">
        <v>486.92</v>
      </c>
      <c r="M49">
        <v>3.59</v>
      </c>
      <c r="N49" s="22">
        <v>12115</v>
      </c>
    </row>
    <row r="50" spans="1:14">
      <c r="A50" s="23"/>
      <c r="J50">
        <v>2000</v>
      </c>
      <c r="K50">
        <v>43.3</v>
      </c>
      <c r="L50">
        <v>640.84</v>
      </c>
      <c r="M50">
        <v>3.12</v>
      </c>
      <c r="N50" s="22">
        <v>12926</v>
      </c>
    </row>
    <row r="51" spans="1:14" ht="15" thickBot="1">
      <c r="A51" s="24"/>
      <c r="B51" s="25"/>
      <c r="C51" s="25"/>
      <c r="D51" s="25"/>
      <c r="E51" s="25"/>
      <c r="F51" s="25"/>
      <c r="G51" s="25"/>
      <c r="H51" s="25"/>
      <c r="I51" s="25"/>
      <c r="J51" s="25">
        <v>2360</v>
      </c>
      <c r="K51" s="25">
        <v>52.3</v>
      </c>
      <c r="L51" s="25">
        <v>774.04</v>
      </c>
      <c r="M51" s="25">
        <v>3.05</v>
      </c>
      <c r="N51" s="26">
        <v>13942</v>
      </c>
    </row>
    <row r="52" spans="1:14">
      <c r="A52" t="s">
        <v>61</v>
      </c>
      <c r="B52" s="34" t="s">
        <v>64</v>
      </c>
      <c r="I52" s="20" t="s">
        <v>4</v>
      </c>
      <c r="J52" s="20" t="s">
        <v>3</v>
      </c>
      <c r="K52" s="20" t="s">
        <v>5</v>
      </c>
      <c r="L52" s="20" t="s">
        <v>7</v>
      </c>
      <c r="M52" s="20" t="s">
        <v>8</v>
      </c>
      <c r="N52" t="s">
        <v>6</v>
      </c>
    </row>
    <row r="53" spans="1:14">
      <c r="A53" s="23" t="s">
        <v>39</v>
      </c>
      <c r="B53" t="s">
        <v>65</v>
      </c>
      <c r="I53">
        <v>14.8</v>
      </c>
      <c r="J53">
        <v>100</v>
      </c>
      <c r="K53">
        <v>0.8</v>
      </c>
      <c r="L53">
        <v>11.84</v>
      </c>
      <c r="M53">
        <v>8.4499999999999993</v>
      </c>
      <c r="N53">
        <v>3146</v>
      </c>
    </row>
    <row r="54" spans="1:14">
      <c r="A54" s="23" t="s">
        <v>32</v>
      </c>
      <c r="B54">
        <v>85</v>
      </c>
      <c r="J54">
        <v>200</v>
      </c>
      <c r="K54">
        <v>1.6</v>
      </c>
      <c r="L54">
        <v>23.68</v>
      </c>
      <c r="M54">
        <v>8.4499999999999993</v>
      </c>
      <c r="N54">
        <v>4527</v>
      </c>
    </row>
    <row r="55" spans="1:14">
      <c r="A55" s="23" t="s">
        <v>33</v>
      </c>
      <c r="B55">
        <v>980</v>
      </c>
      <c r="J55">
        <v>300</v>
      </c>
      <c r="K55">
        <v>2.7</v>
      </c>
      <c r="L55">
        <v>39.96</v>
      </c>
      <c r="M55">
        <v>7.51</v>
      </c>
      <c r="N55">
        <v>5592</v>
      </c>
    </row>
    <row r="56" spans="1:14">
      <c r="J56">
        <v>400</v>
      </c>
      <c r="K56">
        <v>4</v>
      </c>
      <c r="L56">
        <v>59.2</v>
      </c>
      <c r="M56">
        <v>6.76</v>
      </c>
      <c r="N56">
        <v>6521</v>
      </c>
    </row>
    <row r="57" spans="1:14">
      <c r="J57">
        <v>500</v>
      </c>
      <c r="K57">
        <v>5.3</v>
      </c>
      <c r="L57">
        <v>78.44</v>
      </c>
      <c r="M57">
        <v>6.37</v>
      </c>
      <c r="N57">
        <v>7243</v>
      </c>
    </row>
    <row r="58" spans="1:14">
      <c r="J58">
        <v>600</v>
      </c>
      <c r="K58">
        <v>6.5</v>
      </c>
      <c r="L58">
        <v>96.2</v>
      </c>
      <c r="M58">
        <v>6.24</v>
      </c>
      <c r="N58">
        <v>7994</v>
      </c>
    </row>
    <row r="59" spans="1:14">
      <c r="J59">
        <v>700</v>
      </c>
      <c r="K59">
        <v>8.1999999999999993</v>
      </c>
      <c r="L59">
        <v>121.36</v>
      </c>
      <c r="M59">
        <v>5.77</v>
      </c>
      <c r="N59">
        <v>8698</v>
      </c>
    </row>
    <row r="60" spans="1:14">
      <c r="J60">
        <v>800</v>
      </c>
      <c r="K60">
        <v>9.6</v>
      </c>
      <c r="L60">
        <v>142.08000000000001</v>
      </c>
      <c r="M60">
        <v>5.63</v>
      </c>
      <c r="N60">
        <v>9338</v>
      </c>
    </row>
    <row r="61" spans="1:14">
      <c r="J61">
        <v>900</v>
      </c>
      <c r="K61">
        <v>11.2</v>
      </c>
      <c r="L61">
        <v>165.76</v>
      </c>
      <c r="M61">
        <v>5.43</v>
      </c>
      <c r="N61">
        <v>9890</v>
      </c>
    </row>
    <row r="62" spans="1:14">
      <c r="J62">
        <v>1000</v>
      </c>
      <c r="K62">
        <v>13</v>
      </c>
      <c r="L62">
        <v>192.4</v>
      </c>
      <c r="M62">
        <v>5.2</v>
      </c>
      <c r="N62">
        <v>10416</v>
      </c>
    </row>
    <row r="63" spans="1:14">
      <c r="J63">
        <v>1100</v>
      </c>
      <c r="K63">
        <v>15.2</v>
      </c>
      <c r="L63">
        <v>224.96</v>
      </c>
      <c r="M63">
        <v>4.8899999999999997</v>
      </c>
      <c r="N63">
        <v>11031</v>
      </c>
    </row>
    <row r="64" spans="1:14">
      <c r="J64">
        <v>1200</v>
      </c>
      <c r="K64">
        <v>17.2</v>
      </c>
      <c r="L64">
        <v>254.56</v>
      </c>
      <c r="M64">
        <v>4.71</v>
      </c>
      <c r="N64">
        <v>11606</v>
      </c>
    </row>
    <row r="65" spans="1:14">
      <c r="J65">
        <v>1300</v>
      </c>
      <c r="K65">
        <v>18.899999999999999</v>
      </c>
      <c r="L65">
        <v>279.72000000000003</v>
      </c>
      <c r="M65">
        <v>4.6500000000000004</v>
      </c>
      <c r="N65">
        <v>11985</v>
      </c>
    </row>
    <row r="66" spans="1:14" ht="15" thickBot="1">
      <c r="J66">
        <v>1450</v>
      </c>
      <c r="K66">
        <v>22.1</v>
      </c>
      <c r="L66">
        <v>327.08</v>
      </c>
      <c r="M66">
        <v>4.43</v>
      </c>
      <c r="N66">
        <v>12622</v>
      </c>
    </row>
    <row r="67" spans="1:14">
      <c r="A67" t="s">
        <v>61</v>
      </c>
      <c r="B67" s="34" t="s">
        <v>67</v>
      </c>
      <c r="C67" s="20" t="s">
        <v>4</v>
      </c>
      <c r="D67" s="20" t="s">
        <v>3</v>
      </c>
      <c r="E67" s="20" t="s">
        <v>5</v>
      </c>
      <c r="F67" s="20" t="s">
        <v>7</v>
      </c>
      <c r="G67" s="20" t="s">
        <v>8</v>
      </c>
      <c r="H67" t="s">
        <v>6</v>
      </c>
      <c r="I67" s="30"/>
      <c r="J67" s="20" t="s">
        <v>3</v>
      </c>
      <c r="K67" s="20" t="s">
        <v>5</v>
      </c>
      <c r="L67" s="20" t="s">
        <v>7</v>
      </c>
      <c r="M67" s="21" t="s">
        <v>8</v>
      </c>
    </row>
    <row r="68" spans="1:14">
      <c r="A68" s="23" t="s">
        <v>39</v>
      </c>
      <c r="B68">
        <v>1050</v>
      </c>
      <c r="C68">
        <v>25.32</v>
      </c>
      <c r="D68">
        <v>128</v>
      </c>
      <c r="E68">
        <v>0.74</v>
      </c>
      <c r="F68">
        <v>18.7</v>
      </c>
      <c r="G68">
        <v>15.2</v>
      </c>
      <c r="H68">
        <v>2984</v>
      </c>
      <c r="J68">
        <f>D68*(14.8/22.2)^2</f>
        <v>56.8888888888889</v>
      </c>
      <c r="K68">
        <f>E68*(14.8/22.2)^2</f>
        <v>0.32888888888888895</v>
      </c>
      <c r="L68">
        <f>F68*(14.8/22.2)^3</f>
        <v>5.5407407407407421</v>
      </c>
    </row>
    <row r="69" spans="1:14">
      <c r="A69" s="23" t="s">
        <v>32</v>
      </c>
      <c r="B69">
        <v>112</v>
      </c>
      <c r="C69">
        <v>25.2</v>
      </c>
      <c r="D69">
        <v>469</v>
      </c>
      <c r="E69">
        <v>3.25</v>
      </c>
      <c r="F69">
        <v>81.900000000000006</v>
      </c>
      <c r="G69">
        <v>9.8000000000000007</v>
      </c>
      <c r="H69">
        <v>5293</v>
      </c>
      <c r="J69">
        <f t="shared" ref="J69:J76" si="1">D69*(14.8/22.2)^2</f>
        <v>208.44444444444449</v>
      </c>
      <c r="K69">
        <f t="shared" ref="K69:K76" si="2">E69*(14.8/22.2)^2</f>
        <v>1.4444444444444446</v>
      </c>
      <c r="L69">
        <f t="shared" ref="L69:L76" si="3">F69*(14.8/22.2)^3</f>
        <v>24.266666666666676</v>
      </c>
    </row>
    <row r="70" spans="1:14">
      <c r="A70" s="23" t="s">
        <v>33</v>
      </c>
      <c r="B70">
        <v>900</v>
      </c>
      <c r="C70">
        <v>24.96</v>
      </c>
      <c r="D70">
        <v>1024</v>
      </c>
      <c r="E70">
        <v>8.5500000000000007</v>
      </c>
      <c r="F70">
        <v>213.4</v>
      </c>
      <c r="G70">
        <v>7.6</v>
      </c>
      <c r="H70">
        <v>7452</v>
      </c>
      <c r="J70">
        <f t="shared" si="1"/>
        <v>455.1111111111112</v>
      </c>
      <c r="K70">
        <f t="shared" si="2"/>
        <v>3.8000000000000012</v>
      </c>
      <c r="L70">
        <f t="shared" si="3"/>
        <v>63.229629629629649</v>
      </c>
    </row>
    <row r="71" spans="1:14">
      <c r="C71">
        <v>24.5</v>
      </c>
      <c r="D71">
        <v>1781</v>
      </c>
      <c r="E71">
        <v>18.25</v>
      </c>
      <c r="F71">
        <v>447.1</v>
      </c>
      <c r="G71">
        <v>6.1</v>
      </c>
      <c r="H71">
        <v>9547</v>
      </c>
      <c r="J71">
        <f t="shared" si="1"/>
        <v>791.55555555555566</v>
      </c>
      <c r="K71">
        <f t="shared" si="2"/>
        <v>8.1111111111111125</v>
      </c>
      <c r="L71">
        <f t="shared" si="3"/>
        <v>132.47407407407411</v>
      </c>
    </row>
    <row r="72" spans="1:14">
      <c r="C72">
        <v>23.86</v>
      </c>
      <c r="D72">
        <v>2526</v>
      </c>
      <c r="E72">
        <v>32.18</v>
      </c>
      <c r="F72">
        <v>767.8</v>
      </c>
      <c r="G72">
        <v>5.2</v>
      </c>
      <c r="H72">
        <v>11286</v>
      </c>
      <c r="J72">
        <f t="shared" si="1"/>
        <v>1122.666666666667</v>
      </c>
      <c r="K72">
        <f t="shared" si="2"/>
        <v>14.302222222222225</v>
      </c>
      <c r="L72">
        <f t="shared" si="3"/>
        <v>227.49629629629635</v>
      </c>
    </row>
    <row r="73" spans="1:14">
      <c r="C73">
        <v>23.12</v>
      </c>
      <c r="D73">
        <v>3178</v>
      </c>
      <c r="E73">
        <v>47.34</v>
      </c>
      <c r="F73">
        <v>1094.5</v>
      </c>
      <c r="G73">
        <v>4.7</v>
      </c>
      <c r="H73">
        <v>12599</v>
      </c>
      <c r="J73">
        <f t="shared" si="1"/>
        <v>1412.4444444444448</v>
      </c>
      <c r="K73">
        <f t="shared" si="2"/>
        <v>21.040000000000006</v>
      </c>
      <c r="L73">
        <f t="shared" si="3"/>
        <v>324.29629629629642</v>
      </c>
    </row>
    <row r="74" spans="1:14">
      <c r="C74">
        <v>22.22</v>
      </c>
      <c r="D74">
        <v>3651</v>
      </c>
      <c r="E74">
        <v>64.2</v>
      </c>
      <c r="F74">
        <v>1426.5</v>
      </c>
      <c r="G74">
        <v>4.3</v>
      </c>
      <c r="H74">
        <v>13600</v>
      </c>
      <c r="J74">
        <f t="shared" si="1"/>
        <v>1622.666666666667</v>
      </c>
      <c r="K74">
        <f t="shared" si="2"/>
        <v>28.533333333333339</v>
      </c>
      <c r="L74">
        <f t="shared" si="3"/>
        <v>422.6666666666668</v>
      </c>
    </row>
    <row r="75" spans="1:14">
      <c r="C75">
        <v>22.1</v>
      </c>
      <c r="D75">
        <v>3870</v>
      </c>
      <c r="E75">
        <v>66.2</v>
      </c>
      <c r="F75">
        <v>1463</v>
      </c>
      <c r="G75">
        <v>4.2</v>
      </c>
      <c r="H75">
        <v>14000</v>
      </c>
      <c r="J75">
        <f t="shared" si="1"/>
        <v>1720.0000000000002</v>
      </c>
      <c r="K75">
        <f t="shared" si="2"/>
        <v>29.422222222222228</v>
      </c>
      <c r="L75">
        <f t="shared" si="3"/>
        <v>433.48148148148164</v>
      </c>
    </row>
    <row r="76" spans="1:14">
      <c r="C76">
        <v>22.1</v>
      </c>
      <c r="D76">
        <v>3960</v>
      </c>
      <c r="E76">
        <v>68</v>
      </c>
      <c r="F76">
        <v>1502</v>
      </c>
      <c r="G76">
        <v>4</v>
      </c>
      <c r="H76">
        <v>14650</v>
      </c>
      <c r="J76">
        <f t="shared" si="1"/>
        <v>1760.0000000000005</v>
      </c>
      <c r="K76">
        <f t="shared" si="2"/>
        <v>30.222222222222229</v>
      </c>
      <c r="L76">
        <f t="shared" si="3"/>
        <v>445.03703703703718</v>
      </c>
    </row>
  </sheetData>
  <hyperlinks>
    <hyperlink ref="B31" r:id="rId1" xr:uid="{54E07788-328C-4BA1-AA28-AB2517CB10D1}"/>
    <hyperlink ref="B1" r:id="rId2" xr:uid="{121705F4-9D89-404B-B2F6-A6AAC6E6E951}"/>
    <hyperlink ref="B43" r:id="rId3" xr:uid="{3A6F529D-6F26-4AD5-B2D6-50BE68ECF40E}"/>
    <hyperlink ref="B52" r:id="rId4" xr:uid="{49EE02FB-59B1-4B60-B26A-65FD57A6D7AB}"/>
    <hyperlink ref="B67" r:id="rId5" xr:uid="{663D3843-BEC8-40EC-81B6-1FEB8A2A9EF0}"/>
  </hyperlink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c70a35-bdec-4b82-a48e-fcb724eddf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7EDF357961C4C88A01A167EC7B6AE" ma:contentTypeVersion="13" ma:contentTypeDescription="Create a new document." ma:contentTypeScope="" ma:versionID="19145b6e6e745c95b8f6dfe7fcb4cf8a">
  <xsd:schema xmlns:xsd="http://www.w3.org/2001/XMLSchema" xmlns:xs="http://www.w3.org/2001/XMLSchema" xmlns:p="http://schemas.microsoft.com/office/2006/metadata/properties" xmlns:ns3="c0c70a35-bdec-4b82-a48e-fcb724eddf79" xmlns:ns4="43483a0c-d32e-43f3-ad27-4911fbdf68f2" targetNamespace="http://schemas.microsoft.com/office/2006/metadata/properties" ma:root="true" ma:fieldsID="6fa41959bc4d6692baad636c69a7f73f" ns3:_="" ns4:_="">
    <xsd:import namespace="c0c70a35-bdec-4b82-a48e-fcb724eddf79"/>
    <xsd:import namespace="43483a0c-d32e-43f3-ad27-4911fbdf68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70a35-bdec-4b82-a48e-fcb724eddf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83a0c-d32e-43f3-ad27-4911fbdf68f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3F9AF-CBEF-4CE8-930B-6003B2530B8B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43483a0c-d32e-43f3-ad27-4911fbdf68f2"/>
    <ds:schemaRef ds:uri="http://purl.org/dc/terms/"/>
    <ds:schemaRef ds:uri="http://www.w3.org/XML/1998/namespace"/>
    <ds:schemaRef ds:uri="http://schemas.microsoft.com/office/infopath/2007/PartnerControls"/>
    <ds:schemaRef ds:uri="c0c70a35-bdec-4b82-a48e-fcb724eddf7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7C7F8C-40A2-4DC2-9533-5613D7DF82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E42477-D575-4A97-9FB8-D212EFAF9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70a35-bdec-4b82-a48e-fcb724eddf79"/>
    <ds:schemaRef ds:uri="43483a0c-d32e-43f3-ad27-4911fbdf68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Ireland, John</dc:creator>
  <cp:lastModifiedBy>Ireland, John</cp:lastModifiedBy>
  <dcterms:created xsi:type="dcterms:W3CDTF">2026-09-21T21:17:01Z</dcterms:created>
  <dcterms:modified xsi:type="dcterms:W3CDTF">2026-09-27T22:54:01Z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0x0101007E97EDF357961C4C88A01A167EC7B6AE</vt:lpwstr>
  </property>
</Properties>
</file>