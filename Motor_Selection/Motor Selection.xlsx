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n\MQP\MQP\Motor_Selection\"/>
    </mc:Choice>
  </mc:AlternateContent>
  <xr:revisionPtr revIDLastSave="0" documentId="13_ncr:1_{BABCD90D-F306-44A9-8FDF-EF7AD692594E}" xr6:coauthVersionLast="47" xr6:coauthVersionMax="47" xr10:uidLastSave="{00000000-0000-0000-0000-000000000000}"/>
  <bookViews>
    <workbookView xWindow="-108" yWindow="-108" windowWidth="23256" windowHeight="12456" xr2:uid="{561663A1-5EF6-44DB-8CFA-D0AE345536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20" i="1" l="1"/>
</calcChain>
</file>

<file path=xl/sharedStrings.xml><?xml version="1.0" encoding="utf-8"?>
<sst xmlns="http://schemas.openxmlformats.org/spreadsheetml/2006/main" count="17" uniqueCount="11">
  <si>
    <t>GF 7042</t>
  </si>
  <si>
    <t>HQ 70403</t>
  </si>
  <si>
    <t>Throttle (%)</t>
  </si>
  <si>
    <t>Thrust (g)</t>
  </si>
  <si>
    <t>Voltage (V)</t>
  </si>
  <si>
    <t>Current (A)</t>
  </si>
  <si>
    <t>RPM</t>
  </si>
  <si>
    <t>Power (W)</t>
  </si>
  <si>
    <t>Efficiency (g/W)</t>
  </si>
  <si>
    <t>Current Mass (g)</t>
  </si>
  <si>
    <t>Per Motor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</si>
</sst>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B7B7B7"/>
        <bgColor indexed="64"/>
      </patternFill>
    </fill>
    <fill>
      <patternFill patternType="solid">
        <fgColor rgb="FFD9D9D9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wrapText="1"/>
    </xf>
    <xf numFmtId="0" fontId="2" fillId="2" borderId="2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2" fillId="3" borderId="2" xfId="0" applyFont="1" applyFill="1" applyBorder="1" applyAlignment="1">
      <alignment wrapText="1"/>
    </xf>
    <xf numFmtId="0" fontId="1" fillId="3" borderId="2" xfId="0" applyFont="1" applyFill="1" applyBorder="1" applyAlignment="1">
      <alignment wrapText="1"/>
    </xf>
    <xf numFmtId="0" fontId="1" fillId="3" borderId="3" xfId="0" applyFont="1" applyFill="1" applyBorder="1" applyAlignment="1">
      <alignment wrapText="1"/>
    </xf>
    <xf numFmtId="0" fontId="1" fillId="0" borderId="4" xfId="0" applyFont="1" applyBorder="1" applyAlignment="1">
      <alignment wrapText="1"/>
    </xf>
    <xf numFmtId="0" fontId="2" fillId="2" borderId="5" xfId="0" applyFont="1" applyFill="1" applyBorder="1" applyAlignment="1">
      <alignment wrapText="1"/>
    </xf>
    <xf numFmtId="0" fontId="2" fillId="3" borderId="5" xfId="0" applyFont="1" applyFill="1" applyBorder="1" applyAlignment="1">
      <alignment wrapText="1"/>
    </xf>
    <xf numFmtId="0" fontId="2" fillId="3" borderId="5" xfId="0" applyFont="1" applyFill="1" applyBorder="1" applyAlignment="1">
      <alignment vertical="center"/>
    </xf>
    <xf numFmtId="0" fontId="1" fillId="0" borderId="4" xfId="0" applyFont="1" applyBorder="1" applyAlignment="1">
      <alignment horizontal="right" wrapText="1"/>
    </xf>
    <xf numFmtId="0" fontId="1" fillId="2" borderId="5" xfId="0" applyFont="1" applyFill="1" applyBorder="1" applyAlignment="1">
      <alignment horizontal="right" wrapText="1"/>
    </xf>
    <xf numFmtId="0" fontId="1" fillId="3" borderId="5" xfId="0" applyFont="1" applyFill="1" applyBorder="1" applyAlignment="1">
      <alignment horizontal="right" wrapText="1"/>
    </xf>
    <xf numFmtId="0" fontId="1" fillId="3" borderId="6" xfId="0" applyFont="1" applyFill="1" applyBorder="1" applyAlignment="1">
      <alignment horizontal="right" wrapText="1"/>
    </xf>
    <xf numFmtId="0" fontId="1" fillId="0" borderId="7" xfId="0" applyFont="1" applyBorder="1" applyAlignment="1">
      <alignment horizontal="right" wrapText="1"/>
    </xf>
    <xf numFmtId="0" fontId="1" fillId="2" borderId="8" xfId="0" applyFont="1" applyFill="1" applyBorder="1" applyAlignment="1">
      <alignment horizontal="right" wrapText="1"/>
    </xf>
    <xf numFmtId="0" fontId="1" fillId="3" borderId="8" xfId="0" applyFont="1" applyFill="1" applyBorder="1" applyAlignment="1">
      <alignment horizontal="right" wrapText="1"/>
    </xf>
    <xf numFmtId="0" fontId="1" fillId="3" borderId="9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Thrust</a:t>
            </a:r>
            <a:r>
              <a:rPr lang="en-US" baseline="0"/>
              <a:t> Vs Throttle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HQ 70403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Sheet1!$A$3:$A$13</c:f>
              <c:numCache>
                <c:formatCode>General</c:formatCode>
                <c:ptCount val="11"/>
                <c:pt idx="0">
                  <c:v>30</c:v>
                </c:pt>
                <c:pt idx="1">
                  <c:v>35</c:v>
                </c:pt>
                <c:pt idx="2">
                  <c:v>40</c:v>
                </c:pt>
                <c:pt idx="3">
                  <c:v>45</c:v>
                </c:pt>
                <c:pt idx="4">
                  <c:v>50</c:v>
                </c:pt>
                <c:pt idx="5">
                  <c:v>55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xVal>
          <c:yVal>
            <c:numRef>
              <c:f>Sheet1!$B$3:$B$13</c:f>
              <c:numCache>
                <c:formatCode>General</c:formatCode>
                <c:ptCount val="11"/>
                <c:pt idx="0">
                  <c:v>353.46</c:v>
                </c:pt>
                <c:pt idx="1">
                  <c:v>478.74</c:v>
                </c:pt>
                <c:pt idx="2">
                  <c:v>596.38</c:v>
                </c:pt>
                <c:pt idx="3">
                  <c:v>758.3</c:v>
                </c:pt>
                <c:pt idx="4">
                  <c:v>947.57</c:v>
                </c:pt>
                <c:pt idx="5">
                  <c:v>1131.8</c:v>
                </c:pt>
                <c:pt idx="6">
                  <c:v>1290.19</c:v>
                </c:pt>
                <c:pt idx="7">
                  <c:v>1585.74</c:v>
                </c:pt>
                <c:pt idx="8">
                  <c:v>1865.32</c:v>
                </c:pt>
                <c:pt idx="9">
                  <c:v>2210.1999999999998</c:v>
                </c:pt>
                <c:pt idx="10">
                  <c:v>2360.61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321-430C-98D6-B39532E82A2D}"/>
            </c:ext>
          </c:extLst>
        </c:ser>
        <c:ser>
          <c:idx val="1"/>
          <c:order val="1"/>
          <c:tx>
            <c:v>GF 7042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Sheet1!$A$3:$A$13</c:f>
              <c:numCache>
                <c:formatCode>General</c:formatCode>
                <c:ptCount val="11"/>
                <c:pt idx="0">
                  <c:v>30</c:v>
                </c:pt>
                <c:pt idx="1">
                  <c:v>35</c:v>
                </c:pt>
                <c:pt idx="2">
                  <c:v>40</c:v>
                </c:pt>
                <c:pt idx="3">
                  <c:v>45</c:v>
                </c:pt>
                <c:pt idx="4">
                  <c:v>50</c:v>
                </c:pt>
                <c:pt idx="5">
                  <c:v>55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xVal>
          <c:yVal>
            <c:numRef>
              <c:f>Sheet1!$H$3:$H$13</c:f>
              <c:numCache>
                <c:formatCode>General</c:formatCode>
                <c:ptCount val="11"/>
                <c:pt idx="0">
                  <c:v>319.66000000000003</c:v>
                </c:pt>
                <c:pt idx="1">
                  <c:v>433.5</c:v>
                </c:pt>
                <c:pt idx="2">
                  <c:v>552.09</c:v>
                </c:pt>
                <c:pt idx="3">
                  <c:v>697.52</c:v>
                </c:pt>
                <c:pt idx="4">
                  <c:v>836.04</c:v>
                </c:pt>
                <c:pt idx="5">
                  <c:v>988.93</c:v>
                </c:pt>
                <c:pt idx="6">
                  <c:v>1196.5999999999999</c:v>
                </c:pt>
                <c:pt idx="7">
                  <c:v>1474.19</c:v>
                </c:pt>
                <c:pt idx="8">
                  <c:v>1783.25</c:v>
                </c:pt>
                <c:pt idx="9">
                  <c:v>1969.91</c:v>
                </c:pt>
                <c:pt idx="10">
                  <c:v>2116.5500000000002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321-430C-98D6-B39532E82A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8500144"/>
        <c:axId val="99305584"/>
      </c:scatterChart>
      <c:valAx>
        <c:axId val="218500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Throttle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305584"/>
        <c:crosses val="autoZero"/>
        <c:crossBetween val="midCat"/>
      </c:valAx>
      <c:valAx>
        <c:axId val="99305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Thrust (g)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85001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Voltage</a:t>
            </a:r>
            <a:r>
              <a:rPr lang="en-US" baseline="0"/>
              <a:t> Vs Throttle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HQ 70403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Sheet1!$A$3:$A$13</c:f>
              <c:numCache>
                <c:formatCode>General</c:formatCode>
                <c:ptCount val="11"/>
                <c:pt idx="0">
                  <c:v>30</c:v>
                </c:pt>
                <c:pt idx="1">
                  <c:v>35</c:v>
                </c:pt>
                <c:pt idx="2">
                  <c:v>40</c:v>
                </c:pt>
                <c:pt idx="3">
                  <c:v>45</c:v>
                </c:pt>
                <c:pt idx="4">
                  <c:v>50</c:v>
                </c:pt>
                <c:pt idx="5">
                  <c:v>55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xVal>
          <c:yVal>
            <c:numRef>
              <c:f>Sheet1!$C$3:$C$13</c:f>
              <c:numCache>
                <c:formatCode>General</c:formatCode>
                <c:ptCount val="11"/>
                <c:pt idx="0">
                  <c:v>24.24</c:v>
                </c:pt>
                <c:pt idx="1">
                  <c:v>24.22</c:v>
                </c:pt>
                <c:pt idx="2">
                  <c:v>24.19</c:v>
                </c:pt>
                <c:pt idx="3">
                  <c:v>24.15</c:v>
                </c:pt>
                <c:pt idx="4">
                  <c:v>24.1</c:v>
                </c:pt>
                <c:pt idx="5">
                  <c:v>24.06</c:v>
                </c:pt>
                <c:pt idx="6">
                  <c:v>24.01</c:v>
                </c:pt>
                <c:pt idx="7">
                  <c:v>23.9</c:v>
                </c:pt>
                <c:pt idx="8">
                  <c:v>23.78</c:v>
                </c:pt>
                <c:pt idx="9">
                  <c:v>23.63</c:v>
                </c:pt>
                <c:pt idx="10">
                  <c:v>23.48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518-4CED-B752-2D7D0F0DC3A6}"/>
            </c:ext>
          </c:extLst>
        </c:ser>
        <c:ser>
          <c:idx val="1"/>
          <c:order val="1"/>
          <c:tx>
            <c:v>GF 7042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Sheet1!$A$3:$A$13</c:f>
              <c:numCache>
                <c:formatCode>General</c:formatCode>
                <c:ptCount val="11"/>
                <c:pt idx="0">
                  <c:v>30</c:v>
                </c:pt>
                <c:pt idx="1">
                  <c:v>35</c:v>
                </c:pt>
                <c:pt idx="2">
                  <c:v>40</c:v>
                </c:pt>
                <c:pt idx="3">
                  <c:v>45</c:v>
                </c:pt>
                <c:pt idx="4">
                  <c:v>50</c:v>
                </c:pt>
                <c:pt idx="5">
                  <c:v>55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xVal>
          <c:yVal>
            <c:numRef>
              <c:f>Sheet1!$I$3:$I$13</c:f>
              <c:numCache>
                <c:formatCode>General</c:formatCode>
                <c:ptCount val="11"/>
                <c:pt idx="0">
                  <c:v>24.24</c:v>
                </c:pt>
                <c:pt idx="1">
                  <c:v>24.22</c:v>
                </c:pt>
                <c:pt idx="2">
                  <c:v>24.2</c:v>
                </c:pt>
                <c:pt idx="3">
                  <c:v>24.18</c:v>
                </c:pt>
                <c:pt idx="4">
                  <c:v>24.14</c:v>
                </c:pt>
                <c:pt idx="5">
                  <c:v>24.1</c:v>
                </c:pt>
                <c:pt idx="6">
                  <c:v>24.04</c:v>
                </c:pt>
                <c:pt idx="7">
                  <c:v>23.95</c:v>
                </c:pt>
                <c:pt idx="8">
                  <c:v>23.83</c:v>
                </c:pt>
                <c:pt idx="9">
                  <c:v>23.71</c:v>
                </c:pt>
                <c:pt idx="10">
                  <c:v>23.54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518-4CED-B752-2D7D0F0DC3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8500144"/>
        <c:axId val="99305584"/>
      </c:scatterChart>
      <c:valAx>
        <c:axId val="218500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Throttle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305584"/>
        <c:crosses val="autoZero"/>
        <c:crossBetween val="midCat"/>
      </c:valAx>
      <c:valAx>
        <c:axId val="99305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Voltage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85001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Current Vs Throttle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HQ 70403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Sheet1!$A$3:$A$13</c:f>
              <c:numCache>
                <c:formatCode>General</c:formatCode>
                <c:ptCount val="11"/>
                <c:pt idx="0">
                  <c:v>30</c:v>
                </c:pt>
                <c:pt idx="1">
                  <c:v>35</c:v>
                </c:pt>
                <c:pt idx="2">
                  <c:v>40</c:v>
                </c:pt>
                <c:pt idx="3">
                  <c:v>45</c:v>
                </c:pt>
                <c:pt idx="4">
                  <c:v>50</c:v>
                </c:pt>
                <c:pt idx="5">
                  <c:v>55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xVal>
          <c:yVal>
            <c:numRef>
              <c:f>Sheet1!$D$3:$D$13</c:f>
              <c:numCache>
                <c:formatCode>General</c:formatCode>
                <c:ptCount val="11"/>
                <c:pt idx="0">
                  <c:v>2.14</c:v>
                </c:pt>
                <c:pt idx="1">
                  <c:v>3.31</c:v>
                </c:pt>
                <c:pt idx="2">
                  <c:v>4.55</c:v>
                </c:pt>
                <c:pt idx="3">
                  <c:v>6.71</c:v>
                </c:pt>
                <c:pt idx="4">
                  <c:v>8.83</c:v>
                </c:pt>
                <c:pt idx="5">
                  <c:v>11.29</c:v>
                </c:pt>
                <c:pt idx="6">
                  <c:v>14.27</c:v>
                </c:pt>
                <c:pt idx="7">
                  <c:v>20.64</c:v>
                </c:pt>
                <c:pt idx="8">
                  <c:v>27.73</c:v>
                </c:pt>
                <c:pt idx="9">
                  <c:v>36.729999999999997</c:v>
                </c:pt>
                <c:pt idx="10">
                  <c:v>45.11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ECE-42EE-80C7-D2E1F650C05B}"/>
            </c:ext>
          </c:extLst>
        </c:ser>
        <c:ser>
          <c:idx val="1"/>
          <c:order val="1"/>
          <c:tx>
            <c:v>GF 7042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Sheet1!$A$3:$A$13</c:f>
              <c:numCache>
                <c:formatCode>General</c:formatCode>
                <c:ptCount val="11"/>
                <c:pt idx="0">
                  <c:v>30</c:v>
                </c:pt>
                <c:pt idx="1">
                  <c:v>35</c:v>
                </c:pt>
                <c:pt idx="2">
                  <c:v>40</c:v>
                </c:pt>
                <c:pt idx="3">
                  <c:v>45</c:v>
                </c:pt>
                <c:pt idx="4">
                  <c:v>50</c:v>
                </c:pt>
                <c:pt idx="5">
                  <c:v>55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xVal>
          <c:yVal>
            <c:numRef>
              <c:f>Sheet1!$J$3:$J$13</c:f>
              <c:numCache>
                <c:formatCode>General</c:formatCode>
                <c:ptCount val="11"/>
                <c:pt idx="0">
                  <c:v>1.78</c:v>
                </c:pt>
                <c:pt idx="1">
                  <c:v>2.62</c:v>
                </c:pt>
                <c:pt idx="2">
                  <c:v>3.86</c:v>
                </c:pt>
                <c:pt idx="3">
                  <c:v>5.22</c:v>
                </c:pt>
                <c:pt idx="4">
                  <c:v>7.22</c:v>
                </c:pt>
                <c:pt idx="5">
                  <c:v>9.24</c:v>
                </c:pt>
                <c:pt idx="6">
                  <c:v>12.15</c:v>
                </c:pt>
                <c:pt idx="7">
                  <c:v>18.25</c:v>
                </c:pt>
                <c:pt idx="8">
                  <c:v>24.52</c:v>
                </c:pt>
                <c:pt idx="9">
                  <c:v>32.06</c:v>
                </c:pt>
                <c:pt idx="10">
                  <c:v>41.26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ECE-42EE-80C7-D2E1F650C0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8500144"/>
        <c:axId val="99305584"/>
      </c:scatterChart>
      <c:valAx>
        <c:axId val="218500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Throttle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305584"/>
        <c:crosses val="autoZero"/>
        <c:crossBetween val="midCat"/>
      </c:valAx>
      <c:valAx>
        <c:axId val="99305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85001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Current Vs Throttle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HQ 70403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Sheet1!$D$3:$D$13</c:f>
              <c:numCache>
                <c:formatCode>General</c:formatCode>
                <c:ptCount val="11"/>
                <c:pt idx="0">
                  <c:v>2.14</c:v>
                </c:pt>
                <c:pt idx="1">
                  <c:v>3.31</c:v>
                </c:pt>
                <c:pt idx="2">
                  <c:v>4.55</c:v>
                </c:pt>
                <c:pt idx="3">
                  <c:v>6.71</c:v>
                </c:pt>
                <c:pt idx="4">
                  <c:v>8.83</c:v>
                </c:pt>
                <c:pt idx="5">
                  <c:v>11.29</c:v>
                </c:pt>
                <c:pt idx="6">
                  <c:v>14.27</c:v>
                </c:pt>
                <c:pt idx="7">
                  <c:v>20.64</c:v>
                </c:pt>
                <c:pt idx="8">
                  <c:v>27.73</c:v>
                </c:pt>
                <c:pt idx="9">
                  <c:v>36.729999999999997</c:v>
                </c:pt>
                <c:pt idx="10">
                  <c:v>45.11</c:v>
                </c:pt>
              </c:numCache>
            </c:numRef>
          </c:xVal>
          <c:yVal>
            <c:numRef>
              <c:f>Sheet1!$B$3:$B$13</c:f>
              <c:numCache>
                <c:formatCode>General</c:formatCode>
                <c:ptCount val="11"/>
                <c:pt idx="0">
                  <c:v>353.46</c:v>
                </c:pt>
                <c:pt idx="1">
                  <c:v>478.74</c:v>
                </c:pt>
                <c:pt idx="2">
                  <c:v>596.38</c:v>
                </c:pt>
                <c:pt idx="3">
                  <c:v>758.3</c:v>
                </c:pt>
                <c:pt idx="4">
                  <c:v>947.57</c:v>
                </c:pt>
                <c:pt idx="5">
                  <c:v>1131.8</c:v>
                </c:pt>
                <c:pt idx="6">
                  <c:v>1290.19</c:v>
                </c:pt>
                <c:pt idx="7">
                  <c:v>1585.74</c:v>
                </c:pt>
                <c:pt idx="8">
                  <c:v>1865.32</c:v>
                </c:pt>
                <c:pt idx="9">
                  <c:v>2210.1999999999998</c:v>
                </c:pt>
                <c:pt idx="10">
                  <c:v>2360.61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223-49BE-B494-9444FB9231E8}"/>
            </c:ext>
          </c:extLst>
        </c:ser>
        <c:ser>
          <c:idx val="1"/>
          <c:order val="1"/>
          <c:tx>
            <c:v>GF 7042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Sheet1!$J$3:$J$13</c:f>
              <c:numCache>
                <c:formatCode>General</c:formatCode>
                <c:ptCount val="11"/>
                <c:pt idx="0">
                  <c:v>1.78</c:v>
                </c:pt>
                <c:pt idx="1">
                  <c:v>2.62</c:v>
                </c:pt>
                <c:pt idx="2">
                  <c:v>3.86</c:v>
                </c:pt>
                <c:pt idx="3">
                  <c:v>5.22</c:v>
                </c:pt>
                <c:pt idx="4">
                  <c:v>7.22</c:v>
                </c:pt>
                <c:pt idx="5">
                  <c:v>9.24</c:v>
                </c:pt>
                <c:pt idx="6">
                  <c:v>12.15</c:v>
                </c:pt>
                <c:pt idx="7">
                  <c:v>18.25</c:v>
                </c:pt>
                <c:pt idx="8">
                  <c:v>24.52</c:v>
                </c:pt>
                <c:pt idx="9">
                  <c:v>32.06</c:v>
                </c:pt>
                <c:pt idx="10">
                  <c:v>41.26</c:v>
                </c:pt>
              </c:numCache>
            </c:numRef>
          </c:xVal>
          <c:yVal>
            <c:numRef>
              <c:f>Sheet1!$H$3:$H$13</c:f>
              <c:numCache>
                <c:formatCode>General</c:formatCode>
                <c:ptCount val="11"/>
                <c:pt idx="0">
                  <c:v>319.66000000000003</c:v>
                </c:pt>
                <c:pt idx="1">
                  <c:v>433.5</c:v>
                </c:pt>
                <c:pt idx="2">
                  <c:v>552.09</c:v>
                </c:pt>
                <c:pt idx="3">
                  <c:v>697.52</c:v>
                </c:pt>
                <c:pt idx="4">
                  <c:v>836.04</c:v>
                </c:pt>
                <c:pt idx="5">
                  <c:v>988.93</c:v>
                </c:pt>
                <c:pt idx="6">
                  <c:v>1196.5999999999999</c:v>
                </c:pt>
                <c:pt idx="7">
                  <c:v>1474.19</c:v>
                </c:pt>
                <c:pt idx="8">
                  <c:v>1783.25</c:v>
                </c:pt>
                <c:pt idx="9">
                  <c:v>1969.91</c:v>
                </c:pt>
                <c:pt idx="10">
                  <c:v>2116.5500000000002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223-49BE-B494-9444FB9231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8500144"/>
        <c:axId val="99305584"/>
      </c:scatterChart>
      <c:valAx>
        <c:axId val="218500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Current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305584"/>
        <c:crosses val="autoZero"/>
        <c:crossBetween val="midCat"/>
      </c:valAx>
      <c:valAx>
        <c:axId val="99305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Thrust (g)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85001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99060</xdr:colOff>
      <xdr:row>0</xdr:row>
      <xdr:rowOff>300990</xdr:rowOff>
    </xdr:from>
    <xdr:to>
      <xdr:col>21</xdr:col>
      <xdr:colOff>403860</xdr:colOff>
      <xdr:row>14</xdr:row>
      <xdr:rowOff>64770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14E5C38-22F7-82EA-C947-6906F3F138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220980</xdr:colOff>
      <xdr:row>8</xdr:row>
      <xdr:rowOff>99060</xdr:rowOff>
    </xdr:from>
    <xdr:to>
      <xdr:col>21</xdr:col>
      <xdr:colOff>525780</xdr:colOff>
      <xdr:row>23</xdr:row>
      <xdr:rowOff>60960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8174B06-CFB8-4FC7-8DD6-1CED37A4D3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175260</xdr:colOff>
      <xdr:row>3</xdr:row>
      <xdr:rowOff>38100</xdr:rowOff>
    </xdr:from>
    <xdr:to>
      <xdr:col>22</xdr:col>
      <xdr:colOff>480060</xdr:colOff>
      <xdr:row>17</xdr:row>
      <xdr:rowOff>144780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B20DF47-735A-44AC-A458-665A294DF4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601980</xdr:colOff>
      <xdr:row>15</xdr:row>
      <xdr:rowOff>114300</xdr:rowOff>
    </xdr:from>
    <xdr:to>
      <xdr:col>13</xdr:col>
      <xdr:colOff>297180</xdr:colOff>
      <xdr:row>30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A5F8EF-22D5-4F20-AA5F-5F04A7E027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6260D-C31C-4D24-87FD-B0D28DF64C21}">
  <dimension ref="A1:M20"/>
  <sheetViews>
    <sheetView tabSelected="1" topLeftCell="A6" workbookViewId="0">
      <selection activeCell="Q25" sqref="Q25"/>
    </sheetView>
  </sheetViews>
  <sheetFormatPr defaultRowHeight="14.4" x14ac:dyDescent="0.3"/>
  <sheetData>
    <row r="1" spans="1:13" ht="27.6" thickBot="1" x14ac:dyDescent="0.35">
      <c r="A1" s="1"/>
      <c r="B1" s="2" t="s">
        <v>1</v>
      </c>
      <c r="C1" s="3"/>
      <c r="D1" s="3"/>
      <c r="E1" s="3"/>
      <c r="F1" s="3"/>
      <c r="G1" s="3"/>
      <c r="H1" s="4" t="s">
        <v>0</v>
      </c>
      <c r="I1" s="5"/>
      <c r="J1" s="5"/>
      <c r="K1" s="5"/>
      <c r="L1" s="5"/>
      <c r="M1" s="6"/>
    </row>
    <row r="2" spans="1:13" ht="27.6" thickBot="1" x14ac:dyDescent="0.35">
      <c r="A2" s="7" t="s">
        <v>2</v>
      </c>
      <c r="B2" s="8" t="s">
        <v>3</v>
      </c>
      <c r="C2" s="8" t="s">
        <v>4</v>
      </c>
      <c r="D2" s="8" t="s">
        <v>5</v>
      </c>
      <c r="E2" s="8" t="s">
        <v>6</v>
      </c>
      <c r="F2" s="8" t="s">
        <v>7</v>
      </c>
      <c r="G2" s="8" t="s">
        <v>8</v>
      </c>
      <c r="H2" s="9" t="s">
        <v>3</v>
      </c>
      <c r="I2" s="9" t="s">
        <v>4</v>
      </c>
      <c r="J2" s="9" t="s">
        <v>5</v>
      </c>
      <c r="K2" s="9" t="s">
        <v>6</v>
      </c>
      <c r="L2" s="9" t="s">
        <v>7</v>
      </c>
      <c r="M2" s="10" t="s">
        <v>8</v>
      </c>
    </row>
    <row r="3" spans="1:13" ht="15" thickBot="1" x14ac:dyDescent="0.35">
      <c r="A3" s="11">
        <v>30</v>
      </c>
      <c r="B3" s="12">
        <v>353.46</v>
      </c>
      <c r="C3" s="12">
        <v>24.24</v>
      </c>
      <c r="D3" s="12">
        <v>2.14</v>
      </c>
      <c r="E3" s="12">
        <v>8192</v>
      </c>
      <c r="F3" s="12">
        <v>51.97</v>
      </c>
      <c r="G3" s="12">
        <v>6.8</v>
      </c>
      <c r="H3" s="13">
        <v>319.66000000000003</v>
      </c>
      <c r="I3" s="13">
        <v>24.24</v>
      </c>
      <c r="J3" s="13">
        <v>1.78</v>
      </c>
      <c r="K3" s="13">
        <v>8506</v>
      </c>
      <c r="L3" s="13">
        <v>43.23</v>
      </c>
      <c r="M3" s="14">
        <v>7.39</v>
      </c>
    </row>
    <row r="4" spans="1:13" ht="15" thickBot="1" x14ac:dyDescent="0.35">
      <c r="A4" s="11">
        <v>35</v>
      </c>
      <c r="B4" s="12">
        <v>478.74</v>
      </c>
      <c r="C4" s="12">
        <v>24.22</v>
      </c>
      <c r="D4" s="12">
        <v>3.31</v>
      </c>
      <c r="E4" s="12">
        <v>9342</v>
      </c>
      <c r="F4" s="12">
        <v>80.150000000000006</v>
      </c>
      <c r="G4" s="12">
        <v>5.97</v>
      </c>
      <c r="H4" s="13">
        <v>433.5</v>
      </c>
      <c r="I4" s="13">
        <v>24.22</v>
      </c>
      <c r="J4" s="13">
        <v>2.62</v>
      </c>
      <c r="K4" s="13">
        <v>9659</v>
      </c>
      <c r="L4" s="13">
        <v>63.49</v>
      </c>
      <c r="M4" s="14">
        <v>6.83</v>
      </c>
    </row>
    <row r="5" spans="1:13" ht="15" thickBot="1" x14ac:dyDescent="0.35">
      <c r="A5" s="11">
        <v>40</v>
      </c>
      <c r="B5" s="12">
        <v>596.38</v>
      </c>
      <c r="C5" s="12">
        <v>24.19</v>
      </c>
      <c r="D5" s="12">
        <v>4.55</v>
      </c>
      <c r="E5" s="12">
        <v>10488</v>
      </c>
      <c r="F5" s="12">
        <v>110.13</v>
      </c>
      <c r="G5" s="12">
        <v>5.42</v>
      </c>
      <c r="H5" s="13">
        <v>552.09</v>
      </c>
      <c r="I5" s="13">
        <v>24.2</v>
      </c>
      <c r="J5" s="13">
        <v>3.86</v>
      </c>
      <c r="K5" s="13">
        <v>10772</v>
      </c>
      <c r="L5" s="13">
        <v>93.35</v>
      </c>
      <c r="M5" s="14">
        <v>5.91</v>
      </c>
    </row>
    <row r="6" spans="1:13" ht="15" thickBot="1" x14ac:dyDescent="0.35">
      <c r="A6" s="11">
        <v>45</v>
      </c>
      <c r="B6" s="12">
        <v>758.3</v>
      </c>
      <c r="C6" s="12">
        <v>24.15</v>
      </c>
      <c r="D6" s="12">
        <v>6.71</v>
      </c>
      <c r="E6" s="12">
        <v>11716</v>
      </c>
      <c r="F6" s="12">
        <v>162.08000000000001</v>
      </c>
      <c r="G6" s="12">
        <v>4.68</v>
      </c>
      <c r="H6" s="13">
        <v>697.52</v>
      </c>
      <c r="I6" s="13">
        <v>24.18</v>
      </c>
      <c r="J6" s="13">
        <v>5.22</v>
      </c>
      <c r="K6" s="13">
        <v>12021</v>
      </c>
      <c r="L6" s="13">
        <v>126.13</v>
      </c>
      <c r="M6" s="14">
        <v>5.53</v>
      </c>
    </row>
    <row r="7" spans="1:13" ht="15" thickBot="1" x14ac:dyDescent="0.35">
      <c r="A7" s="11">
        <v>50</v>
      </c>
      <c r="B7" s="12">
        <v>947.57</v>
      </c>
      <c r="C7" s="12">
        <v>24.1</v>
      </c>
      <c r="D7" s="12">
        <v>8.83</v>
      </c>
      <c r="E7" s="12">
        <v>12801</v>
      </c>
      <c r="F7" s="12">
        <v>212.9</v>
      </c>
      <c r="G7" s="12">
        <v>4.45</v>
      </c>
      <c r="H7" s="13">
        <v>836.04</v>
      </c>
      <c r="I7" s="13">
        <v>24.14</v>
      </c>
      <c r="J7" s="13">
        <v>7.22</v>
      </c>
      <c r="K7" s="13">
        <v>13240</v>
      </c>
      <c r="L7" s="13">
        <v>174.32</v>
      </c>
      <c r="M7" s="14">
        <v>4.8</v>
      </c>
    </row>
    <row r="8" spans="1:13" ht="15" thickBot="1" x14ac:dyDescent="0.35">
      <c r="A8" s="11">
        <v>55</v>
      </c>
      <c r="B8" s="12">
        <v>1131.8</v>
      </c>
      <c r="C8" s="12">
        <v>24.06</v>
      </c>
      <c r="D8" s="12">
        <v>11.29</v>
      </c>
      <c r="E8" s="12">
        <v>13891</v>
      </c>
      <c r="F8" s="12">
        <v>271.70999999999998</v>
      </c>
      <c r="G8" s="12">
        <v>4.17</v>
      </c>
      <c r="H8" s="13">
        <v>988.93</v>
      </c>
      <c r="I8" s="13">
        <v>24.1</v>
      </c>
      <c r="J8" s="13">
        <v>9.24</v>
      </c>
      <c r="K8" s="13">
        <v>14379</v>
      </c>
      <c r="L8" s="13">
        <v>222.65</v>
      </c>
      <c r="M8" s="14">
        <v>4.4400000000000004</v>
      </c>
    </row>
    <row r="9" spans="1:13" ht="15" thickBot="1" x14ac:dyDescent="0.35">
      <c r="A9" s="11">
        <v>60</v>
      </c>
      <c r="B9" s="12">
        <v>1290.19</v>
      </c>
      <c r="C9" s="12">
        <v>24.01</v>
      </c>
      <c r="D9" s="12">
        <v>14.27</v>
      </c>
      <c r="E9" s="12">
        <v>14807</v>
      </c>
      <c r="F9" s="12">
        <v>342.61</v>
      </c>
      <c r="G9" s="12">
        <v>3.77</v>
      </c>
      <c r="H9" s="13">
        <v>1196.5999999999999</v>
      </c>
      <c r="I9" s="13">
        <v>24.04</v>
      </c>
      <c r="J9" s="13">
        <v>12.15</v>
      </c>
      <c r="K9" s="13">
        <v>15407</v>
      </c>
      <c r="L9" s="13">
        <v>292.08999999999997</v>
      </c>
      <c r="M9" s="14">
        <v>4.0999999999999996</v>
      </c>
    </row>
    <row r="10" spans="1:13" ht="15" thickBot="1" x14ac:dyDescent="0.35">
      <c r="A10" s="11">
        <v>70</v>
      </c>
      <c r="B10" s="12">
        <v>1585.74</v>
      </c>
      <c r="C10" s="12">
        <v>23.9</v>
      </c>
      <c r="D10" s="12">
        <v>20.64</v>
      </c>
      <c r="E10" s="12">
        <v>16402</v>
      </c>
      <c r="F10" s="12">
        <v>493.17</v>
      </c>
      <c r="G10" s="12">
        <v>3.22</v>
      </c>
      <c r="H10" s="13">
        <v>1474.19</v>
      </c>
      <c r="I10" s="13">
        <v>23.95</v>
      </c>
      <c r="J10" s="13">
        <v>18.25</v>
      </c>
      <c r="K10" s="13">
        <v>17166</v>
      </c>
      <c r="L10" s="13">
        <v>437.12</v>
      </c>
      <c r="M10" s="14">
        <v>3.37</v>
      </c>
    </row>
    <row r="11" spans="1:13" ht="15" thickBot="1" x14ac:dyDescent="0.35">
      <c r="A11" s="11">
        <v>80</v>
      </c>
      <c r="B11" s="12">
        <v>1865.32</v>
      </c>
      <c r="C11" s="12">
        <v>23.78</v>
      </c>
      <c r="D11" s="12">
        <v>27.73</v>
      </c>
      <c r="E11" s="12">
        <v>17739</v>
      </c>
      <c r="F11" s="12">
        <v>659.4</v>
      </c>
      <c r="G11" s="12">
        <v>2.83</v>
      </c>
      <c r="H11" s="13">
        <v>1783.25</v>
      </c>
      <c r="I11" s="13">
        <v>23.83</v>
      </c>
      <c r="J11" s="13">
        <v>24.52</v>
      </c>
      <c r="K11" s="13">
        <v>18809</v>
      </c>
      <c r="L11" s="13">
        <v>584.29999999999995</v>
      </c>
      <c r="M11" s="14">
        <v>3.05</v>
      </c>
    </row>
    <row r="12" spans="1:13" ht="15" thickBot="1" x14ac:dyDescent="0.35">
      <c r="A12" s="11">
        <v>90</v>
      </c>
      <c r="B12" s="12">
        <v>2210.1999999999998</v>
      </c>
      <c r="C12" s="12">
        <v>23.63</v>
      </c>
      <c r="D12" s="12">
        <v>36.729999999999997</v>
      </c>
      <c r="E12" s="12">
        <v>18865</v>
      </c>
      <c r="F12" s="12">
        <v>867.82</v>
      </c>
      <c r="G12" s="12">
        <v>2.5499999999999998</v>
      </c>
      <c r="H12" s="13">
        <v>1969.91</v>
      </c>
      <c r="I12" s="13">
        <v>23.71</v>
      </c>
      <c r="J12" s="13">
        <v>32.06</v>
      </c>
      <c r="K12" s="13">
        <v>20211</v>
      </c>
      <c r="L12" s="13">
        <v>760.06</v>
      </c>
      <c r="M12" s="14">
        <v>2.59</v>
      </c>
    </row>
    <row r="13" spans="1:13" ht="15" thickBot="1" x14ac:dyDescent="0.35">
      <c r="A13" s="15">
        <v>100</v>
      </c>
      <c r="B13" s="16">
        <v>2360.61</v>
      </c>
      <c r="C13" s="16">
        <v>23.48</v>
      </c>
      <c r="D13" s="16">
        <v>45.11</v>
      </c>
      <c r="E13" s="16">
        <v>19617</v>
      </c>
      <c r="F13" s="16">
        <v>1059.1600000000001</v>
      </c>
      <c r="G13" s="16">
        <v>2.23</v>
      </c>
      <c r="H13" s="17">
        <v>2116.5500000000002</v>
      </c>
      <c r="I13" s="17">
        <v>23.54</v>
      </c>
      <c r="J13" s="17">
        <v>41.26</v>
      </c>
      <c r="K13" s="17">
        <v>21357</v>
      </c>
      <c r="L13" s="17">
        <v>971.16</v>
      </c>
      <c r="M13" s="18">
        <v>2.1800000000000002</v>
      </c>
    </row>
    <row r="17" spans="1:1" x14ac:dyDescent="0.3">
      <c r="A17" t="s">
        <v>9</v>
      </c>
    </row>
    <row r="18" spans="1:1" x14ac:dyDescent="0.3">
      <c r="A18">
        <v>2243</v>
      </c>
    </row>
    <row r="19" spans="1:1" x14ac:dyDescent="0.3">
      <c r="A19" t="s">
        <v>10</v>
      </c>
    </row>
    <row r="20" spans="1:1" x14ac:dyDescent="0.3">
      <c r="A20">
        <f>A18/4</f>
        <v>560.75</v>
      </c>
    </row>
  </sheetData>
  <pageMargins left="0.7" right="0.7" top="0.75" bottom="0.75" header="0.3" footer="0.3"/>
  <pageSetup orientation="portrait" horizontalDpi="4294967293" verticalDpi="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97EDF357961C4C88A01A167EC7B6AE" ma:contentTypeVersion="13" ma:contentTypeDescription="Create a new document." ma:contentTypeScope="" ma:versionID="19145b6e6e745c95b8f6dfe7fcb4cf8a">
  <xsd:schema xmlns:xsd="http://www.w3.org/2001/XMLSchema" xmlns:xs="http://www.w3.org/2001/XMLSchema" xmlns:p="http://schemas.microsoft.com/office/2006/metadata/properties" xmlns:ns3="c0c70a35-bdec-4b82-a48e-fcb724eddf79" xmlns:ns4="43483a0c-d32e-43f3-ad27-4911fbdf68f2" targetNamespace="http://schemas.microsoft.com/office/2006/metadata/properties" ma:root="true" ma:fieldsID="6fa41959bc4d6692baad636c69a7f73f" ns3:_="" ns4:_="">
    <xsd:import namespace="c0c70a35-bdec-4b82-a48e-fcb724eddf79"/>
    <xsd:import namespace="43483a0c-d32e-43f3-ad27-4911fbdf68f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c70a35-bdec-4b82-a48e-fcb724eddf7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483a0c-d32e-43f3-ad27-4911fbdf68f2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0c70a35-bdec-4b82-a48e-fcb724eddf79" xsi:nil="true"/>
  </documentManagement>
</p:properties>
</file>

<file path=customXml/itemProps1.xml><?xml version="1.0" encoding="utf-8"?>
<ds:datastoreItem xmlns:ds="http://schemas.openxmlformats.org/officeDocument/2006/customXml" ds:itemID="{9A7C7F8C-40A2-4DC2-9533-5613D7DF82F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0E42477-D575-4A97-9FB8-D212EFAF9FE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c70a35-bdec-4b82-a48e-fcb724eddf79"/>
    <ds:schemaRef ds:uri="43483a0c-d32e-43f3-ad27-4911fbdf68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5A3F9AF-CBEF-4CE8-930B-6003B2530B8B}">
  <ds:schemaRefs>
    <ds:schemaRef ds:uri="http://schemas.openxmlformats.org/package/2006/metadata/core-properties"/>
    <ds:schemaRef ds:uri="http://schemas.microsoft.com/office/2006/metadata/properties"/>
    <ds:schemaRef ds:uri="http://schemas.microsoft.com/office/2006/documentManagement/types"/>
    <ds:schemaRef ds:uri="http://purl.org/dc/elements/1.1/"/>
    <ds:schemaRef ds:uri="43483a0c-d32e-43f3-ad27-4911fbdf68f2"/>
    <ds:schemaRef ds:uri="http://purl.org/dc/terms/"/>
    <ds:schemaRef ds:uri="http://www.w3.org/XML/1998/namespace"/>
    <ds:schemaRef ds:uri="http://schemas.microsoft.com/office/infopath/2007/PartnerControls"/>
    <ds:schemaRef ds:uri="c0c70a35-bdec-4b82-a48e-fcb724eddf79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Ireland, John</dc:creator>
  <cp:lastModifiedBy>Ireland, John</cp:lastModifiedBy>
  <dcterms:created xsi:type="dcterms:W3CDTF">2026-09-21T21:17:01Z</dcterms:created>
  <dcterms:modified xsi:type="dcterms:W3CDTF">2026-09-21T22:31:07Z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0x0101007E97EDF357961C4C88A01A167EC7B6AE</vt:lpwstr>
  </property>
</Properties>
</file>